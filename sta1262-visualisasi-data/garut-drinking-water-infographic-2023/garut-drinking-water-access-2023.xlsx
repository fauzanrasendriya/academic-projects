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B\Semester 4\STA1262 - Visualisasi Data\Tugas\"/>
    </mc:Choice>
  </mc:AlternateContent>
  <xr:revisionPtr revIDLastSave="0" documentId="13_ncr:1_{B6301456-78ED-482D-8232-07861314FEEF}" xr6:coauthVersionLast="47" xr6:coauthVersionMax="47" xr10:uidLastSave="{00000000-0000-0000-0000-000000000000}"/>
  <bookViews>
    <workbookView xWindow="-120" yWindow="-120" windowWidth="20730" windowHeight="11760" activeTab="2" xr2:uid="{F95BBED7-3450-4CBF-8F03-17F7A6EEE134}"/>
  </bookViews>
  <sheets>
    <sheet name="Data Kumpulan" sheetId="1" r:id="rId1"/>
    <sheet name="Sheet5" sheetId="5" r:id="rId2"/>
    <sheet name="Kondisi Fisik" sheetId="2" r:id="rId3"/>
    <sheet name="Sumber Air Minum" sheetId="3" r:id="rId4"/>
    <sheet name="Sheet6" sheetId="6" r:id="rId5"/>
  </sheets>
  <definedNames>
    <definedName name="_xlnm._FilterDatabase" localSheetId="0" hidden="1">'Data Kumpulan'!$A$1:$J$1130</definedName>
    <definedName name="_xlchart.v1.0" hidden="1">'Sumber Air Minum'!$L$14:$N$31</definedName>
    <definedName name="_xlchart.v1.1" hidden="1">'Sumber Air Minum'!$O$14:$O$31</definedName>
    <definedName name="_xlchart.v1.2" hidden="1">'Sumber Air Minum'!$K$2:$S$2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F29" i="2"/>
  <c r="I8" i="6"/>
  <c r="I7" i="6"/>
  <c r="I6" i="6"/>
  <c r="I5" i="6"/>
  <c r="I4" i="6"/>
  <c r="J8" i="6"/>
  <c r="J7" i="6"/>
  <c r="J6" i="6"/>
  <c r="J5" i="6"/>
  <c r="J4" i="6"/>
  <c r="P42" i="2"/>
  <c r="P41" i="2"/>
  <c r="P40" i="2"/>
  <c r="P39" i="2"/>
  <c r="A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A1116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L9" i="3"/>
  <c r="M9" i="3"/>
  <c r="N9" i="3"/>
  <c r="O9" i="3"/>
  <c r="P9" i="3"/>
  <c r="Q9" i="3"/>
  <c r="R9" i="3"/>
  <c r="S9" i="3"/>
  <c r="K9" i="3"/>
  <c r="L6" i="3"/>
  <c r="M6" i="3"/>
  <c r="N6" i="3"/>
  <c r="O6" i="3"/>
  <c r="P6" i="3"/>
  <c r="Q6" i="3"/>
  <c r="R6" i="3"/>
  <c r="S6" i="3"/>
  <c r="K6" i="3"/>
  <c r="L3" i="3"/>
  <c r="M3" i="3"/>
  <c r="N3" i="3"/>
  <c r="O3" i="3"/>
  <c r="P3" i="3"/>
  <c r="Q3" i="3"/>
  <c r="R3" i="3"/>
  <c r="S3" i="3"/>
  <c r="K3" i="3"/>
  <c r="C35" i="2"/>
  <c r="D35" i="2"/>
  <c r="E35" i="2"/>
  <c r="F35" i="2"/>
  <c r="C34" i="2"/>
  <c r="D34" i="2"/>
  <c r="E34" i="2"/>
  <c r="F34" i="2"/>
  <c r="O27" i="2"/>
  <c r="O26" i="2"/>
  <c r="P26" i="2"/>
  <c r="P27" i="2" s="1"/>
  <c r="Q26" i="2"/>
  <c r="Q27" i="2" s="1"/>
  <c r="R26" i="2"/>
  <c r="R27" i="2" s="1"/>
  <c r="S26" i="2"/>
  <c r="S27" i="2" s="1"/>
  <c r="K27" i="2"/>
  <c r="H26" i="2"/>
  <c r="H27" i="2" s="1"/>
  <c r="I26" i="2"/>
  <c r="I27" i="2" s="1"/>
  <c r="J26" i="2"/>
  <c r="J27" i="2" s="1"/>
  <c r="K26" i="2"/>
  <c r="L26" i="2"/>
  <c r="L27" i="2" s="1"/>
  <c r="B26" i="2"/>
  <c r="C26" i="2"/>
  <c r="D26" i="2"/>
  <c r="E26" i="2"/>
  <c r="A26" i="2"/>
  <c r="B34" i="2" s="1"/>
  <c r="O34" i="2" s="1"/>
  <c r="C28" i="2"/>
  <c r="B27" i="2" s="1"/>
  <c r="B35" i="2" l="1"/>
  <c r="O35" i="2" s="1"/>
  <c r="O33" i="2"/>
  <c r="P33" i="2"/>
  <c r="E27" i="2"/>
  <c r="A27" i="2"/>
  <c r="D27" i="2"/>
  <c r="C41" i="2" s="1"/>
  <c r="C42" i="2" s="1"/>
</calcChain>
</file>

<file path=xl/sharedStrings.xml><?xml version="1.0" encoding="utf-8"?>
<sst xmlns="http://schemas.openxmlformats.org/spreadsheetml/2006/main" count="110" uniqueCount="71">
  <si>
    <t>urut</t>
  </si>
  <si>
    <t>desa/kota</t>
  </si>
  <si>
    <t>penimbang</t>
  </si>
  <si>
    <t>sumber air minum</t>
  </si>
  <si>
    <t>keruh</t>
  </si>
  <si>
    <t>berwarna</t>
  </si>
  <si>
    <t>berasa</t>
  </si>
  <si>
    <t>berbusa</t>
  </si>
  <si>
    <t>berbau</t>
  </si>
  <si>
    <t>bobot total</t>
  </si>
  <si>
    <t>KESELURUHAN</t>
  </si>
  <si>
    <t>PERKOTAAN</t>
  </si>
  <si>
    <t>PEDESAAN</t>
  </si>
  <si>
    <t>Part to whole</t>
  </si>
  <si>
    <t>warna</t>
  </si>
  <si>
    <t>rasa</t>
  </si>
  <si>
    <t>busa</t>
  </si>
  <si>
    <t>bau</t>
  </si>
  <si>
    <t>kota</t>
  </si>
  <si>
    <t>desa</t>
  </si>
  <si>
    <t>perkotaan</t>
  </si>
  <si>
    <t>pedesaan</t>
  </si>
  <si>
    <t>proporsi total</t>
  </si>
  <si>
    <t>tidak</t>
  </si>
  <si>
    <t>Pedesaan</t>
  </si>
  <si>
    <t>Perkotaan</t>
  </si>
  <si>
    <t>kota/desa</t>
  </si>
  <si>
    <t>Sumur bor/pompa</t>
  </si>
  <si>
    <t>Sumur terlindung</t>
  </si>
  <si>
    <t>Sumur tak terlindung</t>
  </si>
  <si>
    <t>Mata air terlindung</t>
  </si>
  <si>
    <t>Mata air tak terlindung</t>
  </si>
  <si>
    <t>Air permukaan</t>
  </si>
  <si>
    <t>Air kemasan</t>
  </si>
  <si>
    <t>Air isi ulang</t>
  </si>
  <si>
    <t>Leding</t>
  </si>
  <si>
    <t>Jawa Barat</t>
  </si>
  <si>
    <t>Garut</t>
  </si>
  <si>
    <t>Provinsi Jawa Barat</t>
  </si>
  <si>
    <t>Bogor</t>
  </si>
  <si>
    <t>Sukabumi</t>
  </si>
  <si>
    <t>Cianjur</t>
  </si>
  <si>
    <t>Bandung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</si>
  <si>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</si>
  <si>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</si>
  <si>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</si>
  <si>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</si>
  <si>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</si>
  <si>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</si>
  <si>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</si>
  <si>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</si>
  <si>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</si>
  <si>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</si>
  <si>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</si>
  <si>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</si>
  <si>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</si>
  <si>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</si>
  <si>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</si>
  <si>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</si>
  <si>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</si>
  <si>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</si>
  <si>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</si>
  <si>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</si>
  <si>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</si>
  <si>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</si>
  <si>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di tiap desa kota  baru cari prop</t>
  </si>
  <si>
    <t>prop karakteristik baru dikategori desa kota</t>
  </si>
  <si>
    <t xml:space="preserve">keseluruhan </t>
  </si>
  <si>
    <t>sumber air mck</t>
  </si>
  <si>
    <t>Indonesia</t>
  </si>
  <si>
    <t>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</si>
</sst>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0" xfId="0" applyFill="1"/>
    <xf numFmtId="164" fontId="0" fillId="0" borderId="0" xfId="0" applyNumberFormat="1"/>
    <xf numFmtId="0" fontId="0" fillId="0" borderId="1" xfId="0" applyBorder="1"/>
    <xf numFmtId="2" fontId="0" fillId="0" borderId="0" xfId="0" applyNumberFormat="1"/>
    <xf numFmtId="0" fontId="0" fillId="0" borderId="0" xfId="0" applyFill="1" applyBorder="1" applyAlignment="1">
      <alignment horizontal="center" vertical="center"/>
    </xf>
    <xf numFmtId="164" fontId="0" fillId="0" borderId="1" xfId="0" applyNumberFormat="1" applyBorder="1"/>
    <xf numFmtId="165" fontId="0" fillId="2" borderId="0" xfId="0" applyNumberFormat="1" applyFill="1"/>
    <xf numFmtId="2" fontId="0" fillId="2" borderId="0" xfId="0" applyNumberFormat="1" applyFill="1"/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Sheet6!$B$3:$F$3</c:f>
              <c:numCache>
                <c:formatCode>General</c:formatCode>
                <c:ptCount val="5"/>
                <c:pt idx="0">
                  <c:v>91.02</c:v>
                </c:pt>
                <c:pt idx="1">
                  <c:v>92.13</c:v>
                </c:pt>
                <c:pt idx="2">
                  <c:v>91.83</c:v>
                </c:pt>
                <c:pt idx="3">
                  <c:v>92.28</c:v>
                </c:pt>
                <c:pt idx="4">
                  <c:v>91.9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6-4293-9E33-6970BEB429D3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Sheet6!$B$4:$F$4</c:f>
              <c:numCache>
                <c:formatCode>General</c:formatCode>
                <c:ptCount val="5"/>
                <c:pt idx="0">
                  <c:v>79.569999999999993</c:v>
                </c:pt>
                <c:pt idx="1">
                  <c:v>79.98</c:v>
                </c:pt>
                <c:pt idx="2">
                  <c:v>81.34</c:v>
                </c:pt>
                <c:pt idx="3">
                  <c:v>85.7</c:v>
                </c:pt>
                <c:pt idx="4">
                  <c:v>85.72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96-4293-9E33-6970BEB429D3}"/>
            </c:ext>
          </c:extLst>
        </c:ser>
        <c:ser>
          <c:idx val="3"/>
          <c:order val="3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Sheet6!$B$5:$F$5</c:f>
              <c:numCache>
                <c:formatCode>General</c:formatCode>
                <c:ptCount val="5"/>
                <c:pt idx="0">
                  <c:v>81.5</c:v>
                </c:pt>
                <c:pt idx="1">
                  <c:v>82.73</c:v>
                </c:pt>
                <c:pt idx="2">
                  <c:v>86.25</c:v>
                </c:pt>
                <c:pt idx="3">
                  <c:v>80.790000000000006</c:v>
                </c:pt>
                <c:pt idx="4">
                  <c:v>85.65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96-4293-9E33-6970BEB429D3}"/>
            </c:ext>
          </c:extLst>
        </c:ser>
        <c:ser>
          <c:idx val="4"/>
          <c:order val="4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Sheet6!$B$6:$F$6</c:f>
              <c:numCache>
                <c:formatCode>General</c:formatCode>
                <c:ptCount val="5"/>
                <c:pt idx="0">
                  <c:v>97.84</c:v>
                </c:pt>
                <c:pt idx="1">
                  <c:v>95.87</c:v>
                </c:pt>
                <c:pt idx="2">
                  <c:v>99.07</c:v>
                </c:pt>
                <c:pt idx="3">
                  <c:v>93.79</c:v>
                </c:pt>
                <c:pt idx="4">
                  <c:v>95.73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96-4293-9E33-6970BEB429D3}"/>
            </c:ext>
          </c:extLst>
        </c:ser>
        <c:ser>
          <c:idx val="5"/>
          <c:order val="5"/>
          <c:tx>
            <c:v>Kab. Garut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Sheet6!$B$7:$F$7</c:f>
              <c:numCache>
                <c:formatCode>General</c:formatCode>
                <c:ptCount val="5"/>
                <c:pt idx="0">
                  <c:v>84.17</c:v>
                </c:pt>
                <c:pt idx="1">
                  <c:v>81.86</c:v>
                </c:pt>
                <c:pt idx="2">
                  <c:v>77.349999999999994</c:v>
                </c:pt>
                <c:pt idx="3">
                  <c:v>78.150000000000006</c:v>
                </c:pt>
                <c:pt idx="4">
                  <c:v>81.13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96-4293-9E33-6970BEB429D3}"/>
            </c:ext>
          </c:extLst>
        </c:ser>
        <c:ser>
          <c:idx val="6"/>
          <c:order val="6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Sheet6!$B$8:$F$8</c:f>
              <c:numCache>
                <c:formatCode>General</c:formatCode>
                <c:ptCount val="5"/>
                <c:pt idx="0">
                  <c:v>76.180000000000007</c:v>
                </c:pt>
                <c:pt idx="1">
                  <c:v>85.17</c:v>
                </c:pt>
                <c:pt idx="2">
                  <c:v>85.26</c:v>
                </c:pt>
                <c:pt idx="3">
                  <c:v>89.35</c:v>
                </c:pt>
                <c:pt idx="4">
                  <c:v>89.03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96-4293-9E33-6970BEB429D3}"/>
            </c:ext>
          </c:extLst>
        </c:ser>
        <c:ser>
          <c:idx val="7"/>
          <c:order val="7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Sheet6!$B$9:$F$9</c:f>
              <c:numCache>
                <c:formatCode>General</c:formatCode>
                <c:ptCount val="5"/>
                <c:pt idx="0">
                  <c:v>82.8</c:v>
                </c:pt>
                <c:pt idx="1">
                  <c:v>89.4</c:v>
                </c:pt>
                <c:pt idx="2">
                  <c:v>90.12</c:v>
                </c:pt>
                <c:pt idx="3">
                  <c:v>93.8</c:v>
                </c:pt>
                <c:pt idx="4">
                  <c:v>94.39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96-4293-9E33-6970BEB429D3}"/>
            </c:ext>
          </c:extLst>
        </c:ser>
        <c:ser>
          <c:idx val="8"/>
          <c:order val="8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Sheet6!$B$10:$F$10</c:f>
              <c:numCache>
                <c:formatCode>General</c:formatCode>
                <c:ptCount val="5"/>
                <c:pt idx="0">
                  <c:v>94.26</c:v>
                </c:pt>
                <c:pt idx="1">
                  <c:v>93.37</c:v>
                </c:pt>
                <c:pt idx="2">
                  <c:v>94.4</c:v>
                </c:pt>
                <c:pt idx="3">
                  <c:v>95.51</c:v>
                </c:pt>
                <c:pt idx="4">
                  <c:v>96.57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96-4293-9E33-6970BEB429D3}"/>
            </c:ext>
          </c:extLst>
        </c:ser>
        <c:ser>
          <c:idx val="9"/>
          <c:order val="9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Sheet6!$B$11:$F$11</c:f>
              <c:numCache>
                <c:formatCode>General</c:formatCode>
                <c:ptCount val="5"/>
                <c:pt idx="0">
                  <c:v>95.55</c:v>
                </c:pt>
                <c:pt idx="1">
                  <c:v>96.12</c:v>
                </c:pt>
                <c:pt idx="2">
                  <c:v>96.54</c:v>
                </c:pt>
                <c:pt idx="3">
                  <c:v>94.99</c:v>
                </c:pt>
                <c:pt idx="4">
                  <c:v>98.52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796-4293-9E33-6970BEB429D3}"/>
            </c:ext>
          </c:extLst>
        </c:ser>
        <c:ser>
          <c:idx val="10"/>
          <c:order val="1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Sheet6!$B$12:$F$12</c:f>
              <c:numCache>
                <c:formatCode>General</c:formatCode>
                <c:ptCount val="5"/>
                <c:pt idx="0">
                  <c:v>97.95</c:v>
                </c:pt>
                <c:pt idx="1">
                  <c:v>97.19</c:v>
                </c:pt>
                <c:pt idx="2">
                  <c:v>96.8</c:v>
                </c:pt>
                <c:pt idx="3">
                  <c:v>95.7</c:v>
                </c:pt>
                <c:pt idx="4">
                  <c:v>93.38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96-4293-9E33-6970BEB429D3}"/>
            </c:ext>
          </c:extLst>
        </c:ser>
        <c:ser>
          <c:idx val="11"/>
          <c:order val="11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Sheet6!$B$13:$F$13</c:f>
              <c:numCache>
                <c:formatCode>General</c:formatCode>
                <c:ptCount val="5"/>
                <c:pt idx="0">
                  <c:v>89.77</c:v>
                </c:pt>
                <c:pt idx="1">
                  <c:v>94.96</c:v>
                </c:pt>
                <c:pt idx="2">
                  <c:v>94.16</c:v>
                </c:pt>
                <c:pt idx="3">
                  <c:v>95.84</c:v>
                </c:pt>
                <c:pt idx="4">
                  <c:v>95.42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796-4293-9E33-6970BEB429D3}"/>
            </c:ext>
          </c:extLst>
        </c:ser>
        <c:ser>
          <c:idx val="12"/>
          <c:order val="12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Sheet6!$B$14:$F$14</c:f>
              <c:numCache>
                <c:formatCode>General</c:formatCode>
                <c:ptCount val="5"/>
                <c:pt idx="0">
                  <c:v>95.25</c:v>
                </c:pt>
                <c:pt idx="1">
                  <c:v>98.14</c:v>
                </c:pt>
                <c:pt idx="2">
                  <c:v>97.95</c:v>
                </c:pt>
                <c:pt idx="3">
                  <c:v>95.25</c:v>
                </c:pt>
                <c:pt idx="4">
                  <c:v>97.77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796-4293-9E33-6970BEB429D3}"/>
            </c:ext>
          </c:extLst>
        </c:ser>
        <c:ser>
          <c:idx val="13"/>
          <c:order val="13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Sheet6!$B$15:$F$15</c:f>
              <c:numCache>
                <c:formatCode>General</c:formatCode>
                <c:ptCount val="5"/>
                <c:pt idx="0">
                  <c:v>98.33</c:v>
                </c:pt>
                <c:pt idx="1">
                  <c:v>97.78</c:v>
                </c:pt>
                <c:pt idx="2">
                  <c:v>98.75</c:v>
                </c:pt>
                <c:pt idx="3">
                  <c:v>98.01</c:v>
                </c:pt>
                <c:pt idx="4">
                  <c:v>99.22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796-4293-9E33-6970BEB429D3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Sheet6!$B$16:$F$16</c:f>
              <c:numCache>
                <c:formatCode>General</c:formatCode>
                <c:ptCount val="5"/>
                <c:pt idx="0">
                  <c:v>82.34</c:v>
                </c:pt>
                <c:pt idx="1">
                  <c:v>80.37</c:v>
                </c:pt>
                <c:pt idx="2">
                  <c:v>81.5</c:v>
                </c:pt>
                <c:pt idx="3">
                  <c:v>92.59</c:v>
                </c:pt>
                <c:pt idx="4">
                  <c:v>85.4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796-4293-9E33-6970BEB429D3}"/>
            </c:ext>
          </c:extLst>
        </c:ser>
        <c:ser>
          <c:idx val="15"/>
          <c:order val="15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Sheet6!$B$17:$F$17</c:f>
              <c:numCache>
                <c:formatCode>General</c:formatCode>
                <c:ptCount val="5"/>
                <c:pt idx="0">
                  <c:v>95.84</c:v>
                </c:pt>
                <c:pt idx="1">
                  <c:v>97.62</c:v>
                </c:pt>
                <c:pt idx="2">
                  <c:v>96.63</c:v>
                </c:pt>
                <c:pt idx="3">
                  <c:v>98.19</c:v>
                </c:pt>
                <c:pt idx="4">
                  <c:v>98.11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796-4293-9E33-6970BEB429D3}"/>
            </c:ext>
          </c:extLst>
        </c:ser>
        <c:ser>
          <c:idx val="16"/>
          <c:order val="16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Sheet6!$B$18:$F$18</c:f>
              <c:numCache>
                <c:formatCode>General</c:formatCode>
                <c:ptCount val="5"/>
                <c:pt idx="0">
                  <c:v>96.07</c:v>
                </c:pt>
                <c:pt idx="1">
                  <c:v>98.23</c:v>
                </c:pt>
                <c:pt idx="2">
                  <c:v>95.02</c:v>
                </c:pt>
                <c:pt idx="3">
                  <c:v>94.86</c:v>
                </c:pt>
                <c:pt idx="4">
                  <c:v>96.95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796-4293-9E33-6970BEB429D3}"/>
            </c:ext>
          </c:extLst>
        </c:ser>
        <c:ser>
          <c:idx val="17"/>
          <c:order val="17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Sheet6!$B$19:$F$19</c:f>
              <c:numCache>
                <c:formatCode>General</c:formatCode>
                <c:ptCount val="5"/>
                <c:pt idx="0">
                  <c:v>92.17</c:v>
                </c:pt>
                <c:pt idx="1">
                  <c:v>93.26</c:v>
                </c:pt>
                <c:pt idx="2">
                  <c:v>92.47</c:v>
                </c:pt>
                <c:pt idx="3">
                  <c:v>86.6</c:v>
                </c:pt>
                <c:pt idx="4">
                  <c:v>92.27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796-4293-9E33-6970BEB429D3}"/>
            </c:ext>
          </c:extLst>
        </c:ser>
        <c:ser>
          <c:idx val="18"/>
          <c:order val="18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Sheet6!$B$20:$F$20</c:f>
              <c:numCache>
                <c:formatCode>General</c:formatCode>
                <c:ptCount val="5"/>
                <c:pt idx="0">
                  <c:v>83.65</c:v>
                </c:pt>
                <c:pt idx="1">
                  <c:v>90.91</c:v>
                </c:pt>
                <c:pt idx="2">
                  <c:v>80.78</c:v>
                </c:pt>
                <c:pt idx="3">
                  <c:v>84.14</c:v>
                </c:pt>
                <c:pt idx="4">
                  <c:v>82.95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796-4293-9E33-6970BEB429D3}"/>
            </c:ext>
          </c:extLst>
        </c:ser>
        <c:ser>
          <c:idx val="19"/>
          <c:order val="19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Sheet6!$B$21:$F$21</c:f>
              <c:numCache>
                <c:formatCode>General</c:formatCode>
                <c:ptCount val="5"/>
                <c:pt idx="0">
                  <c:v>98.75</c:v>
                </c:pt>
                <c:pt idx="1">
                  <c:v>99.02</c:v>
                </c:pt>
                <c:pt idx="2">
                  <c:v>98.14</c:v>
                </c:pt>
                <c:pt idx="3">
                  <c:v>98.73</c:v>
                </c:pt>
                <c:pt idx="4">
                  <c:v>99.61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796-4293-9E33-6970BEB429D3}"/>
            </c:ext>
          </c:extLst>
        </c:ser>
        <c:ser>
          <c:idx val="20"/>
          <c:order val="2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Sheet6!$B$22:$F$22</c:f>
              <c:numCache>
                <c:formatCode>General</c:formatCode>
                <c:ptCount val="5"/>
                <c:pt idx="0">
                  <c:v>97.6</c:v>
                </c:pt>
                <c:pt idx="1">
                  <c:v>96.84</c:v>
                </c:pt>
                <c:pt idx="2">
                  <c:v>98.37</c:v>
                </c:pt>
                <c:pt idx="3">
                  <c:v>97.82</c:v>
                </c:pt>
                <c:pt idx="4">
                  <c:v>98.74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796-4293-9E33-6970BEB429D3}"/>
            </c:ext>
          </c:extLst>
        </c:ser>
        <c:ser>
          <c:idx val="21"/>
          <c:order val="21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Sheet6!$B$23:$F$23</c:f>
              <c:numCache>
                <c:formatCode>General</c:formatCode>
                <c:ptCount val="5"/>
                <c:pt idx="0">
                  <c:v>98.55</c:v>
                </c:pt>
                <c:pt idx="1">
                  <c:v>98.43</c:v>
                </c:pt>
                <c:pt idx="2">
                  <c:v>99.51</c:v>
                </c:pt>
                <c:pt idx="3">
                  <c:v>99.03</c:v>
                </c:pt>
                <c:pt idx="4">
                  <c:v>97.67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796-4293-9E33-6970BEB429D3}"/>
            </c:ext>
          </c:extLst>
        </c:ser>
        <c:ser>
          <c:idx val="22"/>
          <c:order val="22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Sheet6!$B$24:$F$24</c:f>
              <c:numCache>
                <c:formatCode>General</c:formatCode>
                <c:ptCount val="5"/>
                <c:pt idx="0">
                  <c:v>99.79</c:v>
                </c:pt>
                <c:pt idx="1">
                  <c:v>99.36</c:v>
                </c:pt>
                <c:pt idx="2">
                  <c:v>99.34</c:v>
                </c:pt>
                <c:pt idx="3">
                  <c:v>99.05</c:v>
                </c:pt>
                <c:pt idx="4">
                  <c:v>99.57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796-4293-9E33-6970BEB429D3}"/>
            </c:ext>
          </c:extLst>
        </c:ser>
        <c:ser>
          <c:idx val="23"/>
          <c:order val="23"/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Sheet6!$B$25:$F$25</c:f>
              <c:numCache>
                <c:formatCode>General</c:formatCode>
                <c:ptCount val="5"/>
                <c:pt idx="0">
                  <c:v>99.26</c:v>
                </c:pt>
                <c:pt idx="1">
                  <c:v>99.74</c:v>
                </c:pt>
                <c:pt idx="2">
                  <c:v>100</c:v>
                </c:pt>
                <c:pt idx="3">
                  <c:v>98.28</c:v>
                </c:pt>
                <c:pt idx="4">
                  <c:v>98.77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796-4293-9E33-6970BEB429D3}"/>
            </c:ext>
          </c:extLst>
        </c:ser>
        <c:ser>
          <c:idx val="24"/>
          <c:order val="24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Sheet6!$B$26:$F$26</c:f>
              <c:numCache>
                <c:formatCode>General</c:formatCode>
                <c:ptCount val="5"/>
                <c:pt idx="0">
                  <c:v>99.01</c:v>
                </c:pt>
                <c:pt idx="1">
                  <c:v>100</c:v>
                </c:pt>
                <c:pt idx="2">
                  <c:v>99.52</c:v>
                </c:pt>
                <c:pt idx="3">
                  <c:v>99.44</c:v>
                </c:pt>
                <c:pt idx="4">
                  <c:v>99.56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796-4293-9E33-6970BEB429D3}"/>
            </c:ext>
          </c:extLst>
        </c:ser>
        <c:ser>
          <c:idx val="25"/>
          <c:order val="25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Sheet6!$B$27:$F$27</c:f>
              <c:numCache>
                <c:formatCode>General</c:formatCode>
                <c:ptCount val="5"/>
                <c:pt idx="0">
                  <c:v>98.05</c:v>
                </c:pt>
                <c:pt idx="1">
                  <c:v>99.04</c:v>
                </c:pt>
                <c:pt idx="2">
                  <c:v>97.93</c:v>
                </c:pt>
                <c:pt idx="3">
                  <c:v>97.81</c:v>
                </c:pt>
                <c:pt idx="4">
                  <c:v>97.36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796-4293-9E33-6970BEB429D3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Sheet6!$B$28:$F$28</c:f>
              <c:numCache>
                <c:formatCode>General</c:formatCode>
                <c:ptCount val="5"/>
                <c:pt idx="0">
                  <c:v>95.76</c:v>
                </c:pt>
                <c:pt idx="1">
                  <c:v>94.17</c:v>
                </c:pt>
                <c:pt idx="2">
                  <c:v>94.4</c:v>
                </c:pt>
                <c:pt idx="3">
                  <c:v>96.81</c:v>
                </c:pt>
                <c:pt idx="4">
                  <c:v>95.84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796-4293-9E33-6970BEB429D3}"/>
            </c:ext>
          </c:extLst>
        </c:ser>
        <c:ser>
          <c:idx val="27"/>
          <c:order val="27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Sheet6!$B$29:$F$29</c:f>
              <c:numCache>
                <c:formatCode>General</c:formatCode>
                <c:ptCount val="5"/>
                <c:pt idx="0">
                  <c:v>95.67</c:v>
                </c:pt>
                <c:pt idx="1">
                  <c:v>98.88</c:v>
                </c:pt>
                <c:pt idx="2">
                  <c:v>97.21</c:v>
                </c:pt>
                <c:pt idx="3">
                  <c:v>97.67</c:v>
                </c:pt>
                <c:pt idx="4">
                  <c:v>94.34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796-4293-9E33-6970BEB429D3}"/>
            </c:ext>
          </c:extLst>
        </c:ser>
        <c:ser>
          <c:idx val="28"/>
          <c:order val="28"/>
          <c:tx>
            <c:v>JAWA BARAT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chemeClr val="accent1">
                    <a:lumMod val="75000"/>
                  </a:schemeClr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D796-4293-9E33-6970BEB429D3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chemeClr val="accent1">
                    <a:lumMod val="75000"/>
                  </a:schemeClr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D796-4293-9E33-6970BEB429D3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chemeClr val="accent1">
                    <a:lumMod val="75000"/>
                  </a:schemeClr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D796-4293-9E33-6970BEB429D3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chemeClr val="accent1">
                    <a:lumMod val="75000"/>
                  </a:schemeClr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D796-4293-9E33-6970BEB429D3}"/>
              </c:ext>
            </c:extLst>
          </c:dPt>
          <c:val>
            <c:numRef>
              <c:f>Sheet6!$B$30:$F$30</c:f>
              <c:numCache>
                <c:formatCode>General</c:formatCode>
                <c:ptCount val="5"/>
                <c:pt idx="0">
                  <c:v>92.3</c:v>
                </c:pt>
                <c:pt idx="1">
                  <c:v>93.42</c:v>
                </c:pt>
                <c:pt idx="2">
                  <c:v>93.24</c:v>
                </c:pt>
                <c:pt idx="3">
                  <c:v>93.04</c:v>
                </c:pt>
                <c:pt idx="4">
                  <c:v>93.86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796-4293-9E33-6970BEB429D3}"/>
            </c:ext>
          </c:extLst>
        </c:ser>
        <c:ser>
          <c:idx val="29"/>
          <c:order val="29"/>
          <c:tx>
            <c:v>Nasional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D796-4293-9E33-6970BEB429D3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796-4293-9E33-6970BEB429D3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796-4293-9E33-6970BEB429D3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D796-4293-9E33-6970BEB429D3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D796-4293-9E33-6970BEB429D3}"/>
              </c:ext>
            </c:extLst>
          </c:dPt>
          <c:val>
            <c:numRef>
              <c:f>Sheet6!$B$31:$F$31</c:f>
              <c:numCache>
                <c:formatCode>General</c:formatCode>
                <c:ptCount val="5"/>
                <c:pt idx="0">
                  <c:v>89.7</c:v>
                </c:pt>
                <c:pt idx="1">
                  <c:v>90.21</c:v>
                </c:pt>
                <c:pt idx="2">
                  <c:v>90.78</c:v>
                </c:pt>
                <c:pt idx="3">
                  <c:v>91.05</c:v>
                </c:pt>
                <c:pt idx="4">
                  <c:v>91.72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796-4293-9E33-6970BEB4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222335"/>
        <c:axId val="17279288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Jawa Barat</c:v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Sheet6!$B$30:$F$30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92.3</c:v>
                      </c:pt>
                      <c:pt idx="1">
                        <c:v>93.42</c:v>
                      </c:pt>
                      <c:pt idx="2">
                        <c:v>93.24</c:v>
                      </c:pt>
                      <c:pt idx="3">
                        <c:v>93.04</c:v>
                      </c:pt>
                      <c:pt idx="4">
                        <c:v>93.86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796-4293-9E33-6970BEB429D3}"/>
                  </c:ext>
                </c:extLst>
              </c15:ser>
            </c15:filteredLineSeries>
          </c:ext>
        </c:extLst>
      </c:lineChart>
      <c:catAx>
        <c:axId val="16522223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28831"/>
        <c:crosses val="autoZero"/>
        <c:auto val="1"/>
        <c:lblAlgn val="ctr"/>
        <c:lblOffset val="100"/>
        <c:noMultiLvlLbl val="0"/>
      </c:catAx>
      <c:valAx>
        <c:axId val="1727928831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22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Sheet6!$I$3</c:f>
              <c:strCache>
                <c:ptCount val="1"/>
                <c:pt idx="0">
                  <c:v>Garut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Sheet6!$I$4:$I$8</c:f>
              <c:numCache>
                <c:formatCode>General</c:formatCode>
                <c:ptCount val="5"/>
                <c:pt idx="0">
                  <c:v>84.17</c:v>
                </c:pt>
                <c:pt idx="1">
                  <c:v>81.86</c:v>
                </c:pt>
                <c:pt idx="2">
                  <c:v>77.349999999999994</c:v>
                </c:pt>
                <c:pt idx="3">
                  <c:v>78.150000000000006</c:v>
                </c:pt>
                <c:pt idx="4">
                  <c:v>81.13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9-464B-9B61-53977972BA9F}"/>
            </c:ext>
          </c:extLst>
        </c:ser>
        <c:ser>
          <c:idx val="1"/>
          <c:order val="1"/>
          <c:tx>
            <c:strRef>
              <c:f>Sheet6!$J$3</c:f>
              <c:strCache>
                <c:ptCount val="1"/>
                <c:pt idx="0">
                  <c:v>Jawa Barat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Sheet6!$J$4:$J$8</c:f>
              <c:numCache>
                <c:formatCode>General</c:formatCode>
                <c:ptCount val="5"/>
                <c:pt idx="0">
                  <c:v>92.3</c:v>
                </c:pt>
                <c:pt idx="1">
                  <c:v>93.42</c:v>
                </c:pt>
                <c:pt idx="2">
                  <c:v>93.24</c:v>
                </c:pt>
                <c:pt idx="3">
                  <c:v>93.04</c:v>
                </c:pt>
                <c:pt idx="4">
                  <c:v>93.86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9-464B-9B61-53977972BA9F}"/>
            </c:ext>
          </c:extLst>
        </c:ser>
        <c:ser>
          <c:idx val="2"/>
          <c:order val="2"/>
          <c:tx>
            <c:strRef>
              <c:f>Sheet6!$K$3</c:f>
              <c:strCache>
                <c:ptCount val="1"/>
                <c:pt idx="0">
                  <c:v>Nasional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Sheet6!$K$4:$K$8</c:f>
              <c:numCache>
                <c:formatCode>General</c:formatCode>
                <c:ptCount val="5"/>
                <c:pt idx="0">
                  <c:v>89.7</c:v>
                </c:pt>
                <c:pt idx="1">
                  <c:v>90.21</c:v>
                </c:pt>
                <c:pt idx="2">
                  <c:v>90.78</c:v>
                </c:pt>
                <c:pt idx="3">
                  <c:v>91.05</c:v>
                </c:pt>
                <c:pt idx="4">
                  <c:v>91.72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9-464B-9B61-53977972B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807455"/>
        <c:axId val="1847806975"/>
      </c:lineChart>
      <c:catAx>
        <c:axId val="1847807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06975"/>
        <c:crosses val="autoZero"/>
        <c:auto val="1"/>
        <c:lblAlgn val="ctr"/>
        <c:lblOffset val="100"/>
        <c:noMultiLvlLbl val="0"/>
      </c:catAx>
      <c:valAx>
        <c:axId val="1847806975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0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Sumber air di Kabupaten Garut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Sumber air di Kabupaten Garut</a:t>
          </a:r>
        </a:p>
      </cx:txPr>
    </cx:title>
    <cx:plotArea>
      <cx:plotAreaRegion>
        <cx:series layoutId="treemap" uniqueId="{F921F76B-1436-4D4C-8ABE-42711469D2AB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_xlchart.v1.2</cx:f>
      </cx:numDim>
    </cx:data>
  </cx:chartData>
  <cx:chart>
    <cx:title pos="t" align="ctr" overlay="0"/>
    <cx:plotArea>
      <cx:plotAreaRegion>
        <cx:series layoutId="treemap" uniqueId="{67895FEC-ED9A-4BED-BC61-DE4EEA1B37F8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206374</xdr:colOff>
      <xdr:row>32</xdr:row>
      <xdr:rowOff>177800</xdr:rowOff>
    </xdr:from>
    <xdr:to>
      <xdr:col>20</xdr:col>
      <xdr:colOff>323850</xdr:colOff>
      <xdr:row>56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3550F72-57D8-395B-F74C-EAB115BF6F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2774" y="6273800"/>
              <a:ext cx="6784976" cy="448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597156</xdr:colOff>
      <xdr:row>12</xdr:row>
      <xdr:rowOff>142138</xdr:rowOff>
    </xdr:from>
    <xdr:to>
      <xdr:col>23</xdr:col>
      <xdr:colOff>294409</xdr:colOff>
      <xdr:row>27</xdr:row>
      <xdr:rowOff>95186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736686B-E7F1-2164-9F39-31BDFFEBCF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0206" y="2428138"/>
              <a:ext cx="4516903" cy="28105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533401</xdr:colOff>
      <xdr:row>4</xdr:row>
      <xdr:rowOff>177800</xdr:rowOff>
    </xdr:from>
    <xdr:to>
      <xdr:col>21</xdr:col>
      <xdr:colOff>247651</xdr:colOff>
      <xdr:row>20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1AF0B1-7323-F73F-E63E-A67AC3620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377825</xdr:colOff>
      <xdr:row>21</xdr:row>
      <xdr:rowOff>146050</xdr:rowOff>
    </xdr:from>
    <xdr:to>
      <xdr:col>15</xdr:col>
      <xdr:colOff>73025</xdr:colOff>
      <xdr:row>36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8A4519-35ED-7896-6577-2BF5D0148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2FE6-BA6E-470F-8FC7-8814ABAB1B16}">
  <sheetPr filterMode="1"/>
  <dimension ref="A1:T1130"/>
  <sheetViews>
    <sheetView workbookViewId="0">
      <selection activeCell="L26" sqref="L26"/>
    </sheetView>
  </sheetViews>
  <sheetFormatPr defaultRowHeight="15" x14ac:dyDescent="0.25"/>
  <cols>
    <col min="1" max="1" width="8.7109375" style="2"/>
    <col min="2" max="2" width="11.140625" style="2" customWidth="1"/>
    <col min="3" max="3" width="11.85546875" style="2" customWidth="1"/>
    <col min="4" max="4" width="16.140625" style="2" customWidth="1"/>
    <col min="5" max="5" width="13.85546875" style="2" customWidth="1"/>
    <col min="6" max="6" width="14.5703125" style="2" customWidth="1"/>
    <col min="7" max="7" width="14.7109375" style="2" customWidth="1"/>
    <col min="8" max="8" width="15.140625" style="2" customWidth="1"/>
    <col min="9" max="9" width="14.5703125" style="2" customWidth="1"/>
    <col min="10" max="10" width="14.42578125" customWidth="1"/>
    <col min="11" max="11" width="10.5703125" customWidth="1"/>
    <col min="12" max="12" width="11.42578125" customWidth="1"/>
    <col min="13" max="19" width="9.42578125" bestFit="1" customWidth="1"/>
  </cols>
  <sheetData>
    <row r="1" spans="1:1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68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  <c r="K1" s="16"/>
    </row>
    <row r="2" spans="1:19" hidden="1" x14ac:dyDescent="0.25">
      <c r="A2" s="6">
        <v>500040</v>
      </c>
      <c r="B2" s="7">
        <v>1</v>
      </c>
      <c r="C2" s="7">
        <v>28.4662452084034</v>
      </c>
      <c r="D2" s="7">
        <v>4</v>
      </c>
      <c r="E2" s="1">
        <v>4</v>
      </c>
      <c r="F2" s="7">
        <v>5</v>
      </c>
      <c r="G2" s="7">
        <v>5</v>
      </c>
      <c r="H2" s="7">
        <v>5</v>
      </c>
      <c r="I2" s="7">
        <v>5</v>
      </c>
      <c r="J2" s="8">
        <v>5</v>
      </c>
    </row>
    <row r="3" spans="1:19" hidden="1" x14ac:dyDescent="0.25">
      <c r="A3" s="6">
        <v>500044</v>
      </c>
      <c r="B3" s="7">
        <v>1</v>
      </c>
      <c r="C3" s="7">
        <v>120.27253230555</v>
      </c>
      <c r="D3" s="7">
        <v>5</v>
      </c>
      <c r="E3" s="1">
        <v>5</v>
      </c>
      <c r="F3" s="7">
        <v>5</v>
      </c>
      <c r="G3" s="7">
        <v>5</v>
      </c>
      <c r="H3" s="7">
        <v>5</v>
      </c>
      <c r="I3" s="7">
        <v>5</v>
      </c>
      <c r="J3" s="8">
        <v>5</v>
      </c>
      <c r="L3" s="15"/>
    </row>
    <row r="4" spans="1:19" hidden="1" x14ac:dyDescent="0.25">
      <c r="A4" s="6">
        <v>500046</v>
      </c>
      <c r="B4" s="7">
        <v>1</v>
      </c>
      <c r="C4" s="7">
        <v>1044.48159846205</v>
      </c>
      <c r="D4" s="7">
        <v>5</v>
      </c>
      <c r="E4" s="1">
        <v>5</v>
      </c>
      <c r="F4" s="7">
        <v>5</v>
      </c>
      <c r="G4" s="7">
        <v>5</v>
      </c>
      <c r="H4" s="7">
        <v>5</v>
      </c>
      <c r="I4" s="7">
        <v>5</v>
      </c>
      <c r="J4" s="8">
        <v>5</v>
      </c>
      <c r="L4" s="15"/>
    </row>
    <row r="5" spans="1:19" hidden="1" x14ac:dyDescent="0.25">
      <c r="A5" s="6">
        <v>500053</v>
      </c>
      <c r="B5" s="7">
        <v>1</v>
      </c>
      <c r="C5" s="7">
        <v>1449.6064944644099</v>
      </c>
      <c r="D5" s="7">
        <v>7</v>
      </c>
      <c r="E5" s="1">
        <v>7</v>
      </c>
      <c r="F5" s="7">
        <v>5</v>
      </c>
      <c r="G5" s="7">
        <v>5</v>
      </c>
      <c r="H5" s="7">
        <v>5</v>
      </c>
      <c r="I5" s="7">
        <v>5</v>
      </c>
      <c r="J5" s="8">
        <v>5</v>
      </c>
      <c r="L5" s="15"/>
    </row>
    <row r="6" spans="1:19" hidden="1" x14ac:dyDescent="0.25">
      <c r="A6" s="6">
        <v>500054</v>
      </c>
      <c r="B6" s="7">
        <v>2</v>
      </c>
      <c r="C6" s="7">
        <v>26.9878068724115</v>
      </c>
      <c r="D6" s="7">
        <v>7</v>
      </c>
      <c r="E6" s="1">
        <v>7</v>
      </c>
      <c r="F6" s="7">
        <v>5</v>
      </c>
      <c r="G6" s="7">
        <v>5</v>
      </c>
      <c r="H6" s="7">
        <v>5</v>
      </c>
      <c r="I6" s="7">
        <v>5</v>
      </c>
      <c r="J6" s="8">
        <v>5</v>
      </c>
      <c r="L6" s="15"/>
    </row>
    <row r="7" spans="1:19" hidden="1" x14ac:dyDescent="0.25">
      <c r="A7" s="6">
        <v>500061</v>
      </c>
      <c r="B7" s="7">
        <v>2</v>
      </c>
      <c r="C7" s="7">
        <v>420.70705425902901</v>
      </c>
      <c r="D7" s="7">
        <v>5</v>
      </c>
      <c r="E7" s="1">
        <v>5</v>
      </c>
      <c r="F7" s="7">
        <v>5</v>
      </c>
      <c r="G7" s="7">
        <v>5</v>
      </c>
      <c r="H7" s="7">
        <v>5</v>
      </c>
      <c r="I7" s="7">
        <v>5</v>
      </c>
      <c r="J7" s="8">
        <v>5</v>
      </c>
      <c r="L7" s="15"/>
    </row>
    <row r="8" spans="1:19" hidden="1" x14ac:dyDescent="0.25">
      <c r="A8" s="6">
        <v>500072</v>
      </c>
      <c r="B8" s="7">
        <v>2</v>
      </c>
      <c r="C8" s="7">
        <v>138.35534902701301</v>
      </c>
      <c r="D8" s="7">
        <v>7</v>
      </c>
      <c r="E8" s="1">
        <v>8</v>
      </c>
      <c r="F8" s="7">
        <v>5</v>
      </c>
      <c r="G8" s="7">
        <v>5</v>
      </c>
      <c r="H8" s="7">
        <v>5</v>
      </c>
      <c r="I8" s="7">
        <v>5</v>
      </c>
      <c r="J8" s="8">
        <v>5</v>
      </c>
      <c r="L8" s="15"/>
    </row>
    <row r="9" spans="1:19" hidden="1" x14ac:dyDescent="0.25">
      <c r="A9" s="6">
        <v>500076</v>
      </c>
      <c r="B9" s="7">
        <v>2</v>
      </c>
      <c r="C9" s="7">
        <v>722.57353472476996</v>
      </c>
      <c r="D9" s="7">
        <v>7</v>
      </c>
      <c r="E9" s="1">
        <v>7</v>
      </c>
      <c r="F9" s="7">
        <v>5</v>
      </c>
      <c r="G9" s="7">
        <v>5</v>
      </c>
      <c r="H9" s="7">
        <v>5</v>
      </c>
      <c r="I9" s="7">
        <v>5</v>
      </c>
      <c r="J9" s="8">
        <v>5</v>
      </c>
      <c r="L9" s="15"/>
    </row>
    <row r="10" spans="1:19" x14ac:dyDescent="0.25">
      <c r="A10" s="6">
        <v>500124</v>
      </c>
      <c r="B10" s="7">
        <v>2</v>
      </c>
      <c r="C10" s="7">
        <v>411.07108413438601</v>
      </c>
      <c r="D10" s="7">
        <v>8</v>
      </c>
      <c r="E10" s="1">
        <v>8</v>
      </c>
      <c r="F10" s="7">
        <v>5</v>
      </c>
      <c r="G10" s="7">
        <v>5</v>
      </c>
      <c r="H10" s="7">
        <v>5</v>
      </c>
      <c r="I10" s="7">
        <v>5</v>
      </c>
      <c r="J10" s="8">
        <v>5</v>
      </c>
      <c r="L10" s="15"/>
    </row>
    <row r="11" spans="1:19" hidden="1" x14ac:dyDescent="0.25">
      <c r="A11" s="6">
        <v>500140</v>
      </c>
      <c r="B11" s="7">
        <v>1</v>
      </c>
      <c r="C11" s="7">
        <v>406.90410439773098</v>
      </c>
      <c r="D11" s="7">
        <v>2</v>
      </c>
      <c r="E11" s="1">
        <v>9</v>
      </c>
      <c r="F11" s="7">
        <v>5</v>
      </c>
      <c r="G11" s="7">
        <v>5</v>
      </c>
      <c r="H11" s="7">
        <v>5</v>
      </c>
      <c r="I11" s="7">
        <v>5</v>
      </c>
      <c r="J11" s="8">
        <v>5</v>
      </c>
      <c r="L11" s="15"/>
    </row>
    <row r="12" spans="1:19" x14ac:dyDescent="0.25">
      <c r="A12" s="6">
        <v>500148</v>
      </c>
      <c r="B12" s="7">
        <v>2</v>
      </c>
      <c r="C12" s="7">
        <v>415.11244800854303</v>
      </c>
      <c r="D12" s="7">
        <v>6</v>
      </c>
      <c r="E12" s="1">
        <v>4</v>
      </c>
      <c r="F12" s="7">
        <v>5</v>
      </c>
      <c r="G12" s="7">
        <v>5</v>
      </c>
      <c r="H12" s="7">
        <v>5</v>
      </c>
      <c r="I12" s="7">
        <v>5</v>
      </c>
      <c r="J12" s="8">
        <v>5</v>
      </c>
    </row>
    <row r="13" spans="1:19" x14ac:dyDescent="0.25">
      <c r="A13" s="6">
        <v>500149</v>
      </c>
      <c r="B13" s="7">
        <v>2</v>
      </c>
      <c r="C13" s="7">
        <v>238.974491771251</v>
      </c>
      <c r="D13" s="7">
        <v>8</v>
      </c>
      <c r="E13" s="1">
        <v>8</v>
      </c>
      <c r="F13" s="7">
        <v>5</v>
      </c>
      <c r="G13" s="7">
        <v>5</v>
      </c>
      <c r="H13" s="7">
        <v>5</v>
      </c>
      <c r="I13" s="7">
        <v>5</v>
      </c>
      <c r="J13" s="8">
        <v>5</v>
      </c>
    </row>
    <row r="14" spans="1:19" hidden="1" x14ac:dyDescent="0.25">
      <c r="A14" s="6">
        <v>500208</v>
      </c>
      <c r="B14" s="7">
        <v>2</v>
      </c>
      <c r="C14" s="7">
        <v>108.934545495346</v>
      </c>
      <c r="D14" s="7">
        <v>4</v>
      </c>
      <c r="E14" s="1">
        <v>4</v>
      </c>
      <c r="F14" s="7">
        <v>5</v>
      </c>
      <c r="G14" s="7">
        <v>5</v>
      </c>
      <c r="H14" s="7">
        <v>5</v>
      </c>
      <c r="I14" s="7">
        <v>5</v>
      </c>
      <c r="J14" s="8">
        <v>5</v>
      </c>
      <c r="L14" s="16"/>
      <c r="M14" s="15"/>
      <c r="N14" s="15"/>
      <c r="O14" s="15"/>
      <c r="P14" s="15"/>
      <c r="Q14" s="15"/>
      <c r="R14" s="15"/>
      <c r="S14" s="15"/>
    </row>
    <row r="15" spans="1:19" hidden="1" x14ac:dyDescent="0.25">
      <c r="A15" s="6">
        <v>500244</v>
      </c>
      <c r="B15" s="7">
        <v>2</v>
      </c>
      <c r="C15" s="7">
        <v>2133.07147908773</v>
      </c>
      <c r="D15" s="7">
        <v>7</v>
      </c>
      <c r="E15" s="1">
        <v>7</v>
      </c>
      <c r="F15" s="7">
        <v>5</v>
      </c>
      <c r="G15" s="7">
        <v>5</v>
      </c>
      <c r="H15" s="7">
        <v>5</v>
      </c>
      <c r="I15" s="7">
        <v>5</v>
      </c>
      <c r="J15" s="8">
        <v>5</v>
      </c>
      <c r="L15" s="15"/>
      <c r="M15" s="15"/>
      <c r="N15" s="15"/>
      <c r="O15" s="15"/>
      <c r="P15" s="15"/>
      <c r="Q15" s="15"/>
      <c r="R15" s="15"/>
      <c r="S15" s="15"/>
    </row>
    <row r="16" spans="1:19" x14ac:dyDescent="0.25">
      <c r="A16" s="6">
        <v>500292</v>
      </c>
      <c r="B16" s="7">
        <v>1</v>
      </c>
      <c r="C16" s="7">
        <v>1062.6379834623699</v>
      </c>
      <c r="D16" s="7">
        <v>8</v>
      </c>
      <c r="E16" s="1">
        <v>8</v>
      </c>
      <c r="F16" s="7">
        <v>5</v>
      </c>
      <c r="G16" s="7">
        <v>5</v>
      </c>
      <c r="H16" s="7">
        <v>5</v>
      </c>
      <c r="I16" s="7">
        <v>5</v>
      </c>
      <c r="J16" s="8">
        <v>5</v>
      </c>
    </row>
    <row r="17" spans="1:20" hidden="1" x14ac:dyDescent="0.25">
      <c r="A17" s="6">
        <v>500304</v>
      </c>
      <c r="B17" s="7">
        <v>1</v>
      </c>
      <c r="C17" s="7">
        <v>1043.3126444086799</v>
      </c>
      <c r="D17" s="7">
        <v>4</v>
      </c>
      <c r="E17" s="1">
        <v>4</v>
      </c>
      <c r="F17" s="7">
        <v>5</v>
      </c>
      <c r="G17" s="7">
        <v>5</v>
      </c>
      <c r="H17" s="7">
        <v>5</v>
      </c>
      <c r="I17" s="7">
        <v>5</v>
      </c>
      <c r="J17" s="8">
        <v>5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20" hidden="1" x14ac:dyDescent="0.25">
      <c r="A18" s="6">
        <v>500308</v>
      </c>
      <c r="B18" s="7">
        <v>2</v>
      </c>
      <c r="C18" s="7">
        <v>659.15837792001605</v>
      </c>
      <c r="D18" s="7">
        <v>7</v>
      </c>
      <c r="E18" s="1">
        <v>7</v>
      </c>
      <c r="F18" s="7">
        <v>5</v>
      </c>
      <c r="G18" s="7">
        <v>5</v>
      </c>
      <c r="H18" s="7">
        <v>5</v>
      </c>
      <c r="I18" s="7">
        <v>5</v>
      </c>
      <c r="J18" s="8">
        <v>5</v>
      </c>
      <c r="L18" s="13"/>
      <c r="M18" s="13"/>
      <c r="N18" s="13"/>
      <c r="O18" s="13"/>
      <c r="P18" s="13"/>
      <c r="Q18" s="13"/>
      <c r="R18" s="13"/>
      <c r="S18" s="13"/>
      <c r="T18" s="15"/>
    </row>
    <row r="19" spans="1:20" hidden="1" x14ac:dyDescent="0.25">
      <c r="A19" s="6">
        <v>500318</v>
      </c>
      <c r="B19" s="7">
        <v>1</v>
      </c>
      <c r="C19" s="7">
        <v>627.84241762556906</v>
      </c>
      <c r="D19" s="7">
        <v>2</v>
      </c>
      <c r="E19" s="1">
        <v>7</v>
      </c>
      <c r="F19" s="7">
        <v>1</v>
      </c>
      <c r="G19" s="7">
        <v>5</v>
      </c>
      <c r="H19" s="7">
        <v>5</v>
      </c>
      <c r="I19" s="7">
        <v>5</v>
      </c>
      <c r="J19" s="8">
        <v>5</v>
      </c>
    </row>
    <row r="20" spans="1:20" hidden="1" x14ac:dyDescent="0.25">
      <c r="A20" s="6">
        <v>500335</v>
      </c>
      <c r="B20" s="7">
        <v>1</v>
      </c>
      <c r="C20" s="7">
        <v>618.10716958866794</v>
      </c>
      <c r="D20" s="7">
        <v>4</v>
      </c>
      <c r="E20" s="1">
        <v>4</v>
      </c>
      <c r="F20" s="7">
        <v>5</v>
      </c>
      <c r="G20" s="7">
        <v>5</v>
      </c>
      <c r="H20" s="7">
        <v>5</v>
      </c>
      <c r="I20" s="7">
        <v>5</v>
      </c>
      <c r="J20" s="8">
        <v>5</v>
      </c>
    </row>
    <row r="21" spans="1:20" hidden="1" x14ac:dyDescent="0.25">
      <c r="A21" s="6">
        <v>500349</v>
      </c>
      <c r="B21" s="7">
        <v>2</v>
      </c>
      <c r="C21" s="7">
        <v>115.903436444058</v>
      </c>
      <c r="D21" s="7">
        <v>2</v>
      </c>
      <c r="E21" s="1">
        <v>5</v>
      </c>
      <c r="F21" s="7">
        <v>5</v>
      </c>
      <c r="G21" s="7">
        <v>5</v>
      </c>
      <c r="H21" s="7">
        <v>5</v>
      </c>
      <c r="I21" s="7">
        <v>5</v>
      </c>
      <c r="J21" s="8">
        <v>5</v>
      </c>
    </row>
    <row r="22" spans="1:20" hidden="1" x14ac:dyDescent="0.25">
      <c r="A22" s="6">
        <v>500384</v>
      </c>
      <c r="B22" s="7">
        <v>1</v>
      </c>
      <c r="C22" s="7">
        <v>926.37081924318795</v>
      </c>
      <c r="D22" s="7">
        <v>2</v>
      </c>
      <c r="E22" s="1">
        <v>7</v>
      </c>
      <c r="F22" s="7">
        <v>5</v>
      </c>
      <c r="G22" s="7">
        <v>5</v>
      </c>
      <c r="H22" s="7">
        <v>5</v>
      </c>
      <c r="I22" s="7">
        <v>5</v>
      </c>
      <c r="J22" s="8">
        <v>5</v>
      </c>
    </row>
    <row r="23" spans="1:20" hidden="1" x14ac:dyDescent="0.25">
      <c r="A23" s="6">
        <v>500420</v>
      </c>
      <c r="B23" s="7">
        <v>1</v>
      </c>
      <c r="C23" s="7">
        <v>320.36128730871002</v>
      </c>
      <c r="D23" s="7">
        <v>2</v>
      </c>
      <c r="E23" s="1">
        <v>4</v>
      </c>
      <c r="F23" s="7">
        <v>5</v>
      </c>
      <c r="G23" s="7">
        <v>5</v>
      </c>
      <c r="H23" s="7">
        <v>5</v>
      </c>
      <c r="I23" s="7">
        <v>5</v>
      </c>
      <c r="J23" s="8">
        <v>5</v>
      </c>
    </row>
    <row r="24" spans="1:20" x14ac:dyDescent="0.25">
      <c r="A24" s="6">
        <v>500430</v>
      </c>
      <c r="B24" s="7">
        <v>2</v>
      </c>
      <c r="C24" s="7">
        <v>607.31099778364705</v>
      </c>
      <c r="D24" s="7">
        <v>9</v>
      </c>
      <c r="E24" s="1">
        <v>9</v>
      </c>
      <c r="F24" s="7">
        <v>1</v>
      </c>
      <c r="G24" s="7">
        <v>5</v>
      </c>
      <c r="H24" s="7">
        <v>5</v>
      </c>
      <c r="I24" s="7">
        <v>5</v>
      </c>
      <c r="J24" s="8">
        <v>5</v>
      </c>
    </row>
    <row r="25" spans="1:20" x14ac:dyDescent="0.25">
      <c r="A25" s="6">
        <v>500433</v>
      </c>
      <c r="B25" s="7">
        <v>2</v>
      </c>
      <c r="C25" s="7">
        <v>694.26307511893594</v>
      </c>
      <c r="D25" s="7">
        <v>6</v>
      </c>
      <c r="E25" s="1">
        <v>6</v>
      </c>
      <c r="F25" s="7">
        <v>5</v>
      </c>
      <c r="G25" s="7">
        <v>5</v>
      </c>
      <c r="H25" s="7">
        <v>5</v>
      </c>
      <c r="I25" s="7">
        <v>5</v>
      </c>
      <c r="J25" s="8">
        <v>5</v>
      </c>
    </row>
    <row r="26" spans="1:20" x14ac:dyDescent="0.25">
      <c r="A26" s="6">
        <v>500471</v>
      </c>
      <c r="B26" s="7">
        <v>2</v>
      </c>
      <c r="C26" s="7">
        <v>1666.1075021971201</v>
      </c>
      <c r="D26" s="7">
        <v>8</v>
      </c>
      <c r="E26" s="1">
        <v>8</v>
      </c>
      <c r="F26" s="7">
        <v>5</v>
      </c>
      <c r="G26" s="7">
        <v>5</v>
      </c>
      <c r="H26" s="7">
        <v>5</v>
      </c>
      <c r="I26" s="7">
        <v>5</v>
      </c>
      <c r="J26" s="8">
        <v>5</v>
      </c>
    </row>
    <row r="27" spans="1:20" x14ac:dyDescent="0.25">
      <c r="A27" s="6">
        <v>500500</v>
      </c>
      <c r="B27" s="7">
        <v>2</v>
      </c>
      <c r="C27" s="7">
        <v>278.15186997288902</v>
      </c>
      <c r="D27" s="7">
        <v>6</v>
      </c>
      <c r="E27" s="1">
        <v>7</v>
      </c>
      <c r="F27" s="7">
        <v>5</v>
      </c>
      <c r="G27" s="7">
        <v>5</v>
      </c>
      <c r="H27" s="7">
        <v>5</v>
      </c>
      <c r="I27" s="7">
        <v>5</v>
      </c>
      <c r="J27" s="8">
        <v>5</v>
      </c>
    </row>
    <row r="28" spans="1:20" hidden="1" x14ac:dyDescent="0.25">
      <c r="A28" s="6">
        <v>500525</v>
      </c>
      <c r="B28" s="7">
        <v>1</v>
      </c>
      <c r="C28" s="7">
        <v>1202.7173129248999</v>
      </c>
      <c r="D28" s="7">
        <v>2</v>
      </c>
      <c r="E28" s="1">
        <v>4</v>
      </c>
      <c r="F28" s="7">
        <v>5</v>
      </c>
      <c r="G28" s="7">
        <v>5</v>
      </c>
      <c r="H28" s="7">
        <v>5</v>
      </c>
      <c r="I28" s="7">
        <v>5</v>
      </c>
      <c r="J28" s="8">
        <v>5</v>
      </c>
    </row>
    <row r="29" spans="1:20" hidden="1" x14ac:dyDescent="0.25">
      <c r="A29" s="6">
        <v>500549</v>
      </c>
      <c r="B29" s="7">
        <v>1</v>
      </c>
      <c r="C29" s="7">
        <v>434.30322557484402</v>
      </c>
      <c r="D29" s="7">
        <v>5</v>
      </c>
      <c r="E29" s="1">
        <v>5</v>
      </c>
      <c r="F29" s="7">
        <v>5</v>
      </c>
      <c r="G29" s="7">
        <v>5</v>
      </c>
      <c r="H29" s="7">
        <v>5</v>
      </c>
      <c r="I29" s="7">
        <v>5</v>
      </c>
      <c r="J29" s="8">
        <v>5</v>
      </c>
    </row>
    <row r="30" spans="1:20" hidden="1" x14ac:dyDescent="0.25">
      <c r="A30" s="6">
        <v>500560</v>
      </c>
      <c r="B30" s="7">
        <v>1</v>
      </c>
      <c r="C30" s="7">
        <v>580.66592444510695</v>
      </c>
      <c r="D30" s="7">
        <v>7</v>
      </c>
      <c r="E30" s="1">
        <v>7</v>
      </c>
      <c r="F30" s="7">
        <v>5</v>
      </c>
      <c r="G30" s="7">
        <v>5</v>
      </c>
      <c r="H30" s="7">
        <v>5</v>
      </c>
      <c r="I30" s="7">
        <v>5</v>
      </c>
      <c r="J30" s="8">
        <v>5</v>
      </c>
    </row>
    <row r="31" spans="1:20" hidden="1" x14ac:dyDescent="0.25">
      <c r="A31" s="6">
        <v>500627</v>
      </c>
      <c r="B31" s="7">
        <v>2</v>
      </c>
      <c r="C31" s="7">
        <v>26.269039938607399</v>
      </c>
      <c r="D31" s="7">
        <v>7</v>
      </c>
      <c r="E31" s="1">
        <v>7</v>
      </c>
      <c r="F31" s="7">
        <v>5</v>
      </c>
      <c r="G31" s="7">
        <v>5</v>
      </c>
      <c r="H31" s="7">
        <v>5</v>
      </c>
      <c r="I31" s="7">
        <v>5</v>
      </c>
      <c r="J31" s="8">
        <v>5</v>
      </c>
    </row>
    <row r="32" spans="1:20" hidden="1" x14ac:dyDescent="0.25">
      <c r="A32" s="6">
        <v>500634</v>
      </c>
      <c r="B32" s="7">
        <v>2</v>
      </c>
      <c r="C32" s="7">
        <v>81.600866867039997</v>
      </c>
      <c r="D32" s="7">
        <v>7</v>
      </c>
      <c r="E32" s="1">
        <v>9</v>
      </c>
      <c r="F32" s="7">
        <v>5</v>
      </c>
      <c r="G32" s="7">
        <v>5</v>
      </c>
      <c r="H32" s="7">
        <v>5</v>
      </c>
      <c r="I32" s="7">
        <v>5</v>
      </c>
      <c r="J32" s="8">
        <v>5</v>
      </c>
    </row>
    <row r="33" spans="1:10" hidden="1" x14ac:dyDescent="0.25">
      <c r="A33" s="6">
        <v>500660</v>
      </c>
      <c r="B33" s="7">
        <v>1</v>
      </c>
      <c r="C33" s="7">
        <v>583.02486161699505</v>
      </c>
      <c r="D33" s="7">
        <v>5</v>
      </c>
      <c r="E33" s="1">
        <v>5</v>
      </c>
      <c r="F33" s="7">
        <v>5</v>
      </c>
      <c r="G33" s="7">
        <v>5</v>
      </c>
      <c r="H33" s="7">
        <v>5</v>
      </c>
      <c r="I33" s="7">
        <v>5</v>
      </c>
      <c r="J33" s="8">
        <v>5</v>
      </c>
    </row>
    <row r="34" spans="1:10" hidden="1" x14ac:dyDescent="0.25">
      <c r="A34" s="6">
        <v>500684</v>
      </c>
      <c r="B34" s="7">
        <v>1</v>
      </c>
      <c r="C34" s="7">
        <v>1223.1925640094701</v>
      </c>
      <c r="D34" s="7">
        <v>5</v>
      </c>
      <c r="E34" s="1">
        <v>9</v>
      </c>
      <c r="F34" s="7">
        <v>5</v>
      </c>
      <c r="G34" s="7">
        <v>5</v>
      </c>
      <c r="H34" s="7">
        <v>5</v>
      </c>
      <c r="I34" s="7">
        <v>5</v>
      </c>
      <c r="J34" s="8">
        <v>5</v>
      </c>
    </row>
    <row r="35" spans="1:10" hidden="1" x14ac:dyDescent="0.25">
      <c r="A35" s="6">
        <v>500685</v>
      </c>
      <c r="B35" s="7">
        <v>2</v>
      </c>
      <c r="C35" s="7">
        <v>191.76652435284501</v>
      </c>
      <c r="D35" s="7">
        <v>7</v>
      </c>
      <c r="E35" s="1">
        <v>7</v>
      </c>
      <c r="F35" s="7">
        <v>5</v>
      </c>
      <c r="G35" s="7">
        <v>5</v>
      </c>
      <c r="H35" s="7">
        <v>5</v>
      </c>
      <c r="I35" s="7">
        <v>5</v>
      </c>
      <c r="J35" s="8">
        <v>5</v>
      </c>
    </row>
    <row r="36" spans="1:10" hidden="1" x14ac:dyDescent="0.25">
      <c r="A36" s="6">
        <v>500687</v>
      </c>
      <c r="B36" s="7">
        <v>1</v>
      </c>
      <c r="C36" s="7">
        <v>645.09883439709404</v>
      </c>
      <c r="D36" s="7">
        <v>2</v>
      </c>
      <c r="E36" s="1">
        <v>7</v>
      </c>
      <c r="F36" s="7">
        <v>5</v>
      </c>
      <c r="G36" s="7">
        <v>5</v>
      </c>
      <c r="H36" s="7">
        <v>5</v>
      </c>
      <c r="I36" s="7">
        <v>5</v>
      </c>
      <c r="J36" s="8">
        <v>5</v>
      </c>
    </row>
    <row r="37" spans="1:10" hidden="1" x14ac:dyDescent="0.25">
      <c r="A37" s="6">
        <v>500730</v>
      </c>
      <c r="B37" s="7">
        <v>2</v>
      </c>
      <c r="C37" s="7">
        <v>318.53529563008101</v>
      </c>
      <c r="D37" s="7">
        <v>5</v>
      </c>
      <c r="E37" s="1">
        <v>5</v>
      </c>
      <c r="F37" s="7">
        <v>5</v>
      </c>
      <c r="G37" s="7">
        <v>5</v>
      </c>
      <c r="H37" s="7">
        <v>5</v>
      </c>
      <c r="I37" s="7">
        <v>5</v>
      </c>
      <c r="J37" s="8">
        <v>5</v>
      </c>
    </row>
    <row r="38" spans="1:10" hidden="1" x14ac:dyDescent="0.25">
      <c r="A38" s="6">
        <v>500731</v>
      </c>
      <c r="B38" s="7">
        <v>1</v>
      </c>
      <c r="C38" s="7">
        <v>343.14677280435001</v>
      </c>
      <c r="D38" s="7">
        <v>5</v>
      </c>
      <c r="E38" s="1">
        <v>5</v>
      </c>
      <c r="F38" s="7">
        <v>5</v>
      </c>
      <c r="G38" s="7">
        <v>5</v>
      </c>
      <c r="H38" s="7">
        <v>5</v>
      </c>
      <c r="I38" s="7">
        <v>5</v>
      </c>
      <c r="J38" s="8">
        <v>5</v>
      </c>
    </row>
    <row r="39" spans="1:10" hidden="1" x14ac:dyDescent="0.25">
      <c r="A39" s="6">
        <v>500733</v>
      </c>
      <c r="B39" s="7">
        <v>2</v>
      </c>
      <c r="C39" s="7">
        <v>614.63490190070797</v>
      </c>
      <c r="D39" s="7">
        <v>5</v>
      </c>
      <c r="E39" s="1">
        <v>6</v>
      </c>
      <c r="F39" s="7">
        <v>5</v>
      </c>
      <c r="G39" s="7">
        <v>5</v>
      </c>
      <c r="H39" s="7">
        <v>5</v>
      </c>
      <c r="I39" s="7">
        <v>5</v>
      </c>
      <c r="J39" s="8">
        <v>5</v>
      </c>
    </row>
    <row r="40" spans="1:10" hidden="1" x14ac:dyDescent="0.25">
      <c r="A40" s="6">
        <v>500741</v>
      </c>
      <c r="B40" s="7">
        <v>1</v>
      </c>
      <c r="C40" s="7">
        <v>557.96053186514905</v>
      </c>
      <c r="D40" s="7">
        <v>2</v>
      </c>
      <c r="E40" s="1">
        <v>7</v>
      </c>
      <c r="F40" s="7">
        <v>5</v>
      </c>
      <c r="G40" s="7">
        <v>5</v>
      </c>
      <c r="H40" s="7">
        <v>5</v>
      </c>
      <c r="I40" s="7">
        <v>5</v>
      </c>
      <c r="J40" s="8">
        <v>5</v>
      </c>
    </row>
    <row r="41" spans="1:10" hidden="1" x14ac:dyDescent="0.25">
      <c r="A41" s="6">
        <v>500742</v>
      </c>
      <c r="B41" s="7">
        <v>1</v>
      </c>
      <c r="C41" s="7">
        <v>929.88506111306197</v>
      </c>
      <c r="D41" s="7">
        <v>7</v>
      </c>
      <c r="E41" s="1">
        <v>7</v>
      </c>
      <c r="F41" s="7">
        <v>5</v>
      </c>
      <c r="G41" s="7">
        <v>5</v>
      </c>
      <c r="H41" s="7">
        <v>5</v>
      </c>
      <c r="I41" s="7">
        <v>5</v>
      </c>
      <c r="J41" s="8">
        <v>5</v>
      </c>
    </row>
    <row r="42" spans="1:10" hidden="1" x14ac:dyDescent="0.25">
      <c r="A42" s="6">
        <v>500752</v>
      </c>
      <c r="B42" s="7">
        <v>2</v>
      </c>
      <c r="C42" s="7">
        <v>91.741886162332904</v>
      </c>
      <c r="D42" s="7">
        <v>7</v>
      </c>
      <c r="E42" s="1">
        <v>7</v>
      </c>
      <c r="F42" s="7">
        <v>5</v>
      </c>
      <c r="G42" s="7">
        <v>5</v>
      </c>
      <c r="H42" s="7">
        <v>5</v>
      </c>
      <c r="I42" s="7">
        <v>5</v>
      </c>
      <c r="J42" s="8">
        <v>5</v>
      </c>
    </row>
    <row r="43" spans="1:10" hidden="1" x14ac:dyDescent="0.25">
      <c r="A43" s="6">
        <v>500788</v>
      </c>
      <c r="B43" s="7">
        <v>2</v>
      </c>
      <c r="C43" s="7">
        <v>393.00532613864902</v>
      </c>
      <c r="D43" s="7">
        <v>2</v>
      </c>
      <c r="E43" s="1">
        <v>9</v>
      </c>
      <c r="F43" s="7">
        <v>5</v>
      </c>
      <c r="G43" s="7">
        <v>5</v>
      </c>
      <c r="H43" s="7">
        <v>5</v>
      </c>
      <c r="I43" s="7">
        <v>5</v>
      </c>
      <c r="J43" s="8">
        <v>5</v>
      </c>
    </row>
    <row r="44" spans="1:10" hidden="1" x14ac:dyDescent="0.25">
      <c r="A44" s="6">
        <v>500793</v>
      </c>
      <c r="B44" s="7">
        <v>1</v>
      </c>
      <c r="C44" s="7">
        <v>1370.19725929946</v>
      </c>
      <c r="D44" s="7">
        <v>5</v>
      </c>
      <c r="E44" s="1">
        <v>5</v>
      </c>
      <c r="F44" s="7">
        <v>5</v>
      </c>
      <c r="G44" s="7">
        <v>5</v>
      </c>
      <c r="H44" s="7">
        <v>5</v>
      </c>
      <c r="I44" s="7">
        <v>5</v>
      </c>
      <c r="J44" s="8">
        <v>5</v>
      </c>
    </row>
    <row r="45" spans="1:10" x14ac:dyDescent="0.25">
      <c r="A45" s="6">
        <v>500797</v>
      </c>
      <c r="B45" s="7">
        <v>2</v>
      </c>
      <c r="C45" s="7">
        <v>366.14093142184902</v>
      </c>
      <c r="D45" s="7">
        <v>8</v>
      </c>
      <c r="E45" s="1">
        <v>8</v>
      </c>
      <c r="F45" s="7">
        <v>5</v>
      </c>
      <c r="G45" s="7">
        <v>5</v>
      </c>
      <c r="H45" s="7">
        <v>5</v>
      </c>
      <c r="I45" s="7">
        <v>5</v>
      </c>
      <c r="J45" s="8">
        <v>5</v>
      </c>
    </row>
    <row r="46" spans="1:10" hidden="1" x14ac:dyDescent="0.25">
      <c r="A46" s="6">
        <v>500799</v>
      </c>
      <c r="B46" s="7">
        <v>1</v>
      </c>
      <c r="C46" s="7">
        <v>823.624477922913</v>
      </c>
      <c r="D46" s="7">
        <v>5</v>
      </c>
      <c r="E46" s="1">
        <v>7</v>
      </c>
      <c r="F46" s="7">
        <v>5</v>
      </c>
      <c r="G46" s="7">
        <v>5</v>
      </c>
      <c r="H46" s="7">
        <v>5</v>
      </c>
      <c r="I46" s="7">
        <v>5</v>
      </c>
      <c r="J46" s="8">
        <v>5</v>
      </c>
    </row>
    <row r="47" spans="1:10" hidden="1" x14ac:dyDescent="0.25">
      <c r="A47" s="6">
        <v>500800</v>
      </c>
      <c r="B47" s="7">
        <v>1</v>
      </c>
      <c r="C47" s="7">
        <v>656.95093435167405</v>
      </c>
      <c r="D47" s="7">
        <v>4</v>
      </c>
      <c r="E47" s="1">
        <v>4</v>
      </c>
      <c r="F47" s="7">
        <v>5</v>
      </c>
      <c r="G47" s="7">
        <v>5</v>
      </c>
      <c r="H47" s="7">
        <v>5</v>
      </c>
      <c r="I47" s="7">
        <v>5</v>
      </c>
      <c r="J47" s="8">
        <v>5</v>
      </c>
    </row>
    <row r="48" spans="1:10" hidden="1" x14ac:dyDescent="0.25">
      <c r="A48" s="6">
        <v>500807</v>
      </c>
      <c r="B48" s="7">
        <v>1</v>
      </c>
      <c r="C48" s="7">
        <v>373.22145769427601</v>
      </c>
      <c r="D48" s="7">
        <v>5</v>
      </c>
      <c r="E48" s="1">
        <v>5</v>
      </c>
      <c r="F48" s="7">
        <v>5</v>
      </c>
      <c r="G48" s="7">
        <v>5</v>
      </c>
      <c r="H48" s="7">
        <v>5</v>
      </c>
      <c r="I48" s="7">
        <v>5</v>
      </c>
      <c r="J48" s="8">
        <v>5</v>
      </c>
    </row>
    <row r="49" spans="1:10" hidden="1" x14ac:dyDescent="0.25">
      <c r="A49" s="6">
        <v>500810</v>
      </c>
      <c r="B49" s="7">
        <v>1</v>
      </c>
      <c r="C49" s="7">
        <v>472.28641171125702</v>
      </c>
      <c r="D49" s="7">
        <v>5</v>
      </c>
      <c r="E49" s="1">
        <v>5</v>
      </c>
      <c r="F49" s="7">
        <v>5</v>
      </c>
      <c r="G49" s="7">
        <v>5</v>
      </c>
      <c r="H49" s="7">
        <v>5</v>
      </c>
      <c r="I49" s="7">
        <v>5</v>
      </c>
      <c r="J49" s="8">
        <v>5</v>
      </c>
    </row>
    <row r="50" spans="1:10" hidden="1" x14ac:dyDescent="0.25">
      <c r="A50" s="6">
        <v>500813</v>
      </c>
      <c r="B50" s="7">
        <v>1</v>
      </c>
      <c r="C50" s="7">
        <v>936.19999607462398</v>
      </c>
      <c r="D50" s="7">
        <v>5</v>
      </c>
      <c r="E50" s="1">
        <v>5</v>
      </c>
      <c r="F50" s="7">
        <v>5</v>
      </c>
      <c r="G50" s="7">
        <v>5</v>
      </c>
      <c r="H50" s="7">
        <v>5</v>
      </c>
      <c r="I50" s="7">
        <v>5</v>
      </c>
      <c r="J50" s="8">
        <v>5</v>
      </c>
    </row>
    <row r="51" spans="1:10" hidden="1" x14ac:dyDescent="0.25">
      <c r="A51" s="6">
        <v>500829</v>
      </c>
      <c r="B51" s="7">
        <v>1</v>
      </c>
      <c r="C51" s="7">
        <v>152.313842601907</v>
      </c>
      <c r="D51" s="7">
        <v>4</v>
      </c>
      <c r="E51" s="1">
        <v>4</v>
      </c>
      <c r="F51" s="7">
        <v>5</v>
      </c>
      <c r="G51" s="7">
        <v>5</v>
      </c>
      <c r="H51" s="7">
        <v>5</v>
      </c>
      <c r="I51" s="7">
        <v>5</v>
      </c>
      <c r="J51" s="8">
        <v>5</v>
      </c>
    </row>
    <row r="52" spans="1:10" hidden="1" x14ac:dyDescent="0.25">
      <c r="A52" s="6">
        <v>500843</v>
      </c>
      <c r="B52" s="7">
        <v>1</v>
      </c>
      <c r="C52" s="7">
        <v>1556.75487555771</v>
      </c>
      <c r="D52" s="7">
        <v>2</v>
      </c>
      <c r="E52" s="1">
        <v>4</v>
      </c>
      <c r="F52" s="7">
        <v>5</v>
      </c>
      <c r="G52" s="7">
        <v>5</v>
      </c>
      <c r="H52" s="7">
        <v>5</v>
      </c>
      <c r="I52" s="7">
        <v>5</v>
      </c>
      <c r="J52" s="8">
        <v>5</v>
      </c>
    </row>
    <row r="53" spans="1:10" hidden="1" x14ac:dyDescent="0.25">
      <c r="A53" s="6">
        <v>500860</v>
      </c>
      <c r="B53" s="7">
        <v>2</v>
      </c>
      <c r="C53" s="7">
        <v>247.34996502331501</v>
      </c>
      <c r="D53" s="7">
        <v>5</v>
      </c>
      <c r="E53" s="1">
        <v>5</v>
      </c>
      <c r="F53" s="7">
        <v>5</v>
      </c>
      <c r="G53" s="7">
        <v>5</v>
      </c>
      <c r="H53" s="7">
        <v>5</v>
      </c>
      <c r="I53" s="7">
        <v>5</v>
      </c>
      <c r="J53" s="8">
        <v>5</v>
      </c>
    </row>
    <row r="54" spans="1:10" hidden="1" x14ac:dyDescent="0.25">
      <c r="A54" s="6">
        <v>500874</v>
      </c>
      <c r="B54" s="7">
        <v>2</v>
      </c>
      <c r="C54" s="7">
        <v>120.467207413666</v>
      </c>
      <c r="D54" s="7">
        <v>7</v>
      </c>
      <c r="E54" s="1">
        <v>7</v>
      </c>
      <c r="F54" s="7">
        <v>5</v>
      </c>
      <c r="G54" s="7">
        <v>5</v>
      </c>
      <c r="H54" s="7">
        <v>5</v>
      </c>
      <c r="I54" s="7">
        <v>5</v>
      </c>
      <c r="J54" s="8">
        <v>5</v>
      </c>
    </row>
    <row r="55" spans="1:10" hidden="1" x14ac:dyDescent="0.25">
      <c r="A55" s="6">
        <v>500880</v>
      </c>
      <c r="B55" s="7">
        <v>1</v>
      </c>
      <c r="C55" s="7">
        <v>1323.4522178217601</v>
      </c>
      <c r="D55" s="7">
        <v>4</v>
      </c>
      <c r="E55" s="1">
        <v>4</v>
      </c>
      <c r="F55" s="7">
        <v>5</v>
      </c>
      <c r="G55" s="7">
        <v>5</v>
      </c>
      <c r="H55" s="7">
        <v>5</v>
      </c>
      <c r="I55" s="7">
        <v>5</v>
      </c>
      <c r="J55" s="8">
        <v>5</v>
      </c>
    </row>
    <row r="56" spans="1:10" hidden="1" x14ac:dyDescent="0.25">
      <c r="A56" s="6">
        <v>500881</v>
      </c>
      <c r="B56" s="7">
        <v>1</v>
      </c>
      <c r="C56" s="7">
        <v>1003.51954782698</v>
      </c>
      <c r="D56" s="7">
        <v>5</v>
      </c>
      <c r="E56" s="1">
        <v>5</v>
      </c>
      <c r="F56" s="7">
        <v>5</v>
      </c>
      <c r="G56" s="7">
        <v>5</v>
      </c>
      <c r="H56" s="7">
        <v>5</v>
      </c>
      <c r="I56" s="7">
        <v>5</v>
      </c>
      <c r="J56" s="8">
        <v>5</v>
      </c>
    </row>
    <row r="57" spans="1:10" hidden="1" x14ac:dyDescent="0.25">
      <c r="A57" s="6">
        <v>500889</v>
      </c>
      <c r="B57" s="7">
        <v>1</v>
      </c>
      <c r="C57" s="7">
        <v>457.77991163061802</v>
      </c>
      <c r="D57" s="7">
        <v>4</v>
      </c>
      <c r="E57" s="1">
        <v>4</v>
      </c>
      <c r="F57" s="7">
        <v>5</v>
      </c>
      <c r="G57" s="7">
        <v>5</v>
      </c>
      <c r="H57" s="7">
        <v>5</v>
      </c>
      <c r="I57" s="7">
        <v>5</v>
      </c>
      <c r="J57" s="8">
        <v>5</v>
      </c>
    </row>
    <row r="58" spans="1:10" hidden="1" x14ac:dyDescent="0.25">
      <c r="A58" s="6">
        <v>500891</v>
      </c>
      <c r="B58" s="7">
        <v>2</v>
      </c>
      <c r="C58" s="7">
        <v>330.26254684205003</v>
      </c>
      <c r="D58" s="7">
        <v>7</v>
      </c>
      <c r="E58" s="1">
        <v>7</v>
      </c>
      <c r="F58" s="7">
        <v>5</v>
      </c>
      <c r="G58" s="7">
        <v>5</v>
      </c>
      <c r="H58" s="7">
        <v>5</v>
      </c>
      <c r="I58" s="7">
        <v>5</v>
      </c>
      <c r="J58" s="8">
        <v>5</v>
      </c>
    </row>
    <row r="59" spans="1:10" hidden="1" x14ac:dyDescent="0.25">
      <c r="A59" s="6">
        <v>500893</v>
      </c>
      <c r="B59" s="7">
        <v>1</v>
      </c>
      <c r="C59" s="7">
        <v>479.50847684499502</v>
      </c>
      <c r="D59" s="7">
        <v>5</v>
      </c>
      <c r="E59" s="1">
        <v>5</v>
      </c>
      <c r="F59" s="7">
        <v>1</v>
      </c>
      <c r="G59" s="7">
        <v>5</v>
      </c>
      <c r="H59" s="7">
        <v>5</v>
      </c>
      <c r="I59" s="7">
        <v>5</v>
      </c>
      <c r="J59" s="8">
        <v>5</v>
      </c>
    </row>
    <row r="60" spans="1:10" hidden="1" x14ac:dyDescent="0.25">
      <c r="A60" s="6">
        <v>500902</v>
      </c>
      <c r="B60" s="7">
        <v>2</v>
      </c>
      <c r="C60" s="7">
        <v>29.6975359600067</v>
      </c>
      <c r="D60" s="7">
        <v>5</v>
      </c>
      <c r="E60" s="1">
        <v>5</v>
      </c>
      <c r="F60" s="7">
        <v>5</v>
      </c>
      <c r="G60" s="7">
        <v>5</v>
      </c>
      <c r="H60" s="7">
        <v>5</v>
      </c>
      <c r="I60" s="7">
        <v>5</v>
      </c>
      <c r="J60" s="8">
        <v>5</v>
      </c>
    </row>
    <row r="61" spans="1:10" hidden="1" x14ac:dyDescent="0.25">
      <c r="A61" s="6">
        <v>500908</v>
      </c>
      <c r="B61" s="7">
        <v>2</v>
      </c>
      <c r="C61" s="7">
        <v>112.86492585339801</v>
      </c>
      <c r="D61" s="7">
        <v>4</v>
      </c>
      <c r="E61" s="1">
        <v>4</v>
      </c>
      <c r="F61" s="7">
        <v>5</v>
      </c>
      <c r="G61" s="7">
        <v>5</v>
      </c>
      <c r="H61" s="7">
        <v>5</v>
      </c>
      <c r="I61" s="7">
        <v>5</v>
      </c>
      <c r="J61" s="8">
        <v>5</v>
      </c>
    </row>
    <row r="62" spans="1:10" hidden="1" x14ac:dyDescent="0.25">
      <c r="A62" s="6">
        <v>500944</v>
      </c>
      <c r="B62" s="7">
        <v>1</v>
      </c>
      <c r="C62" s="7">
        <v>463.01798466317302</v>
      </c>
      <c r="D62" s="7">
        <v>7</v>
      </c>
      <c r="E62" s="1">
        <v>7</v>
      </c>
      <c r="F62" s="7">
        <v>5</v>
      </c>
      <c r="G62" s="7">
        <v>5</v>
      </c>
      <c r="H62" s="7">
        <v>5</v>
      </c>
      <c r="I62" s="7">
        <v>5</v>
      </c>
      <c r="J62" s="8">
        <v>5</v>
      </c>
    </row>
    <row r="63" spans="1:10" hidden="1" x14ac:dyDescent="0.25">
      <c r="A63" s="6">
        <v>500971</v>
      </c>
      <c r="B63" s="7">
        <v>1</v>
      </c>
      <c r="C63" s="7">
        <v>1374.44862490431</v>
      </c>
      <c r="D63" s="7">
        <v>2</v>
      </c>
      <c r="E63" s="1">
        <v>7</v>
      </c>
      <c r="F63" s="7">
        <v>5</v>
      </c>
      <c r="G63" s="7">
        <v>5</v>
      </c>
      <c r="H63" s="7">
        <v>5</v>
      </c>
      <c r="I63" s="7">
        <v>5</v>
      </c>
      <c r="J63" s="8">
        <v>5</v>
      </c>
    </row>
    <row r="64" spans="1:10" hidden="1" x14ac:dyDescent="0.25">
      <c r="A64" s="6">
        <v>500977</v>
      </c>
      <c r="B64" s="7">
        <v>1</v>
      </c>
      <c r="C64" s="7">
        <v>1381.3343732896601</v>
      </c>
      <c r="D64" s="7">
        <v>7</v>
      </c>
      <c r="E64" s="1">
        <v>7</v>
      </c>
      <c r="F64" s="7">
        <v>5</v>
      </c>
      <c r="G64" s="7">
        <v>5</v>
      </c>
      <c r="H64" s="7">
        <v>5</v>
      </c>
      <c r="I64" s="7">
        <v>5</v>
      </c>
      <c r="J64" s="8">
        <v>5</v>
      </c>
    </row>
    <row r="65" spans="1:10" hidden="1" x14ac:dyDescent="0.25">
      <c r="A65" s="6">
        <v>500988</v>
      </c>
      <c r="B65" s="7">
        <v>2</v>
      </c>
      <c r="C65" s="7">
        <v>219.671914176776</v>
      </c>
      <c r="D65" s="7">
        <v>7</v>
      </c>
      <c r="E65" s="1">
        <v>7</v>
      </c>
      <c r="F65" s="7">
        <v>5</v>
      </c>
      <c r="G65" s="7">
        <v>5</v>
      </c>
      <c r="H65" s="7">
        <v>5</v>
      </c>
      <c r="I65" s="7">
        <v>5</v>
      </c>
      <c r="J65" s="8">
        <v>5</v>
      </c>
    </row>
    <row r="66" spans="1:10" hidden="1" x14ac:dyDescent="0.25">
      <c r="A66" s="6">
        <v>500999</v>
      </c>
      <c r="B66" s="7">
        <v>2</v>
      </c>
      <c r="C66" s="7">
        <v>1442.84185563456</v>
      </c>
      <c r="D66" s="7">
        <v>7</v>
      </c>
      <c r="E66" s="1">
        <v>7</v>
      </c>
      <c r="F66" s="7">
        <v>5</v>
      </c>
      <c r="G66" s="7">
        <v>5</v>
      </c>
      <c r="H66" s="7">
        <v>5</v>
      </c>
      <c r="I66" s="7">
        <v>5</v>
      </c>
      <c r="J66" s="8">
        <v>5</v>
      </c>
    </row>
    <row r="67" spans="1:10" x14ac:dyDescent="0.25">
      <c r="A67" s="6">
        <v>501081</v>
      </c>
      <c r="B67" s="7">
        <v>2</v>
      </c>
      <c r="C67" s="7">
        <v>894.95747966607905</v>
      </c>
      <c r="D67" s="7">
        <v>9</v>
      </c>
      <c r="E67" s="1">
        <v>9</v>
      </c>
      <c r="F67" s="7">
        <v>5</v>
      </c>
      <c r="G67" s="7">
        <v>5</v>
      </c>
      <c r="H67" s="7">
        <v>5</v>
      </c>
      <c r="I67" s="7">
        <v>5</v>
      </c>
      <c r="J67" s="8">
        <v>5</v>
      </c>
    </row>
    <row r="68" spans="1:10" hidden="1" x14ac:dyDescent="0.25">
      <c r="A68" s="6">
        <v>501085</v>
      </c>
      <c r="B68" s="7">
        <v>1</v>
      </c>
      <c r="C68" s="7">
        <v>781.10086983984195</v>
      </c>
      <c r="D68" s="7">
        <v>2</v>
      </c>
      <c r="E68" s="1">
        <v>5</v>
      </c>
      <c r="F68" s="7">
        <v>5</v>
      </c>
      <c r="G68" s="7">
        <v>5</v>
      </c>
      <c r="H68" s="7">
        <v>5</v>
      </c>
      <c r="I68" s="7">
        <v>5</v>
      </c>
      <c r="J68" s="8">
        <v>5</v>
      </c>
    </row>
    <row r="69" spans="1:10" x14ac:dyDescent="0.25">
      <c r="A69" s="6">
        <v>501147</v>
      </c>
      <c r="B69" s="7">
        <v>2</v>
      </c>
      <c r="C69" s="7">
        <v>131.511021484368</v>
      </c>
      <c r="D69" s="7">
        <v>6</v>
      </c>
      <c r="E69" s="1">
        <v>6</v>
      </c>
      <c r="F69" s="7">
        <v>5</v>
      </c>
      <c r="G69" s="7">
        <v>5</v>
      </c>
      <c r="H69" s="7">
        <v>5</v>
      </c>
      <c r="I69" s="7">
        <v>5</v>
      </c>
      <c r="J69" s="8">
        <v>5</v>
      </c>
    </row>
    <row r="70" spans="1:10" hidden="1" x14ac:dyDescent="0.25">
      <c r="A70" s="6">
        <v>501170</v>
      </c>
      <c r="B70" s="7">
        <v>1</v>
      </c>
      <c r="C70" s="7">
        <v>880.29119118703204</v>
      </c>
      <c r="D70" s="7">
        <v>7</v>
      </c>
      <c r="E70" s="1">
        <v>7</v>
      </c>
      <c r="F70" s="7">
        <v>5</v>
      </c>
      <c r="G70" s="7">
        <v>5</v>
      </c>
      <c r="H70" s="7">
        <v>5</v>
      </c>
      <c r="I70" s="7">
        <v>5</v>
      </c>
      <c r="J70" s="8">
        <v>5</v>
      </c>
    </row>
    <row r="71" spans="1:10" hidden="1" x14ac:dyDescent="0.25">
      <c r="A71" s="6">
        <v>501172</v>
      </c>
      <c r="B71" s="7">
        <v>1</v>
      </c>
      <c r="C71" s="7">
        <v>358.33951593856602</v>
      </c>
      <c r="D71" s="7">
        <v>7</v>
      </c>
      <c r="E71" s="1">
        <v>9</v>
      </c>
      <c r="F71" s="7">
        <v>5</v>
      </c>
      <c r="G71" s="7">
        <v>5</v>
      </c>
      <c r="H71" s="7">
        <v>5</v>
      </c>
      <c r="I71" s="7">
        <v>5</v>
      </c>
      <c r="J71" s="8">
        <v>5</v>
      </c>
    </row>
    <row r="72" spans="1:10" hidden="1" x14ac:dyDescent="0.25">
      <c r="A72" s="6">
        <v>501181</v>
      </c>
      <c r="B72" s="7">
        <v>2</v>
      </c>
      <c r="C72" s="7">
        <v>328.38064899920403</v>
      </c>
      <c r="D72" s="7">
        <v>7</v>
      </c>
      <c r="E72" s="1">
        <v>7</v>
      </c>
      <c r="F72" s="7">
        <v>5</v>
      </c>
      <c r="G72" s="7">
        <v>5</v>
      </c>
      <c r="H72" s="7">
        <v>5</v>
      </c>
      <c r="I72" s="7">
        <v>5</v>
      </c>
      <c r="J72" s="8">
        <v>5</v>
      </c>
    </row>
    <row r="73" spans="1:10" hidden="1" x14ac:dyDescent="0.25">
      <c r="A73" s="6">
        <v>501207</v>
      </c>
      <c r="B73" s="7">
        <v>2</v>
      </c>
      <c r="C73" s="7">
        <v>412.070626641947</v>
      </c>
      <c r="D73" s="7">
        <v>5</v>
      </c>
      <c r="E73" s="1">
        <v>5</v>
      </c>
      <c r="F73" s="7">
        <v>5</v>
      </c>
      <c r="G73" s="7">
        <v>5</v>
      </c>
      <c r="H73" s="7">
        <v>5</v>
      </c>
      <c r="I73" s="7">
        <v>5</v>
      </c>
      <c r="J73" s="8">
        <v>5</v>
      </c>
    </row>
    <row r="74" spans="1:10" hidden="1" x14ac:dyDescent="0.25">
      <c r="A74" s="6">
        <v>501210</v>
      </c>
      <c r="B74" s="7">
        <v>2</v>
      </c>
      <c r="C74" s="7">
        <v>28.849034932577901</v>
      </c>
      <c r="D74" s="7">
        <v>5</v>
      </c>
      <c r="E74" s="1">
        <v>7</v>
      </c>
      <c r="F74" s="7">
        <v>5</v>
      </c>
      <c r="G74" s="7">
        <v>5</v>
      </c>
      <c r="H74" s="7">
        <v>5</v>
      </c>
      <c r="I74" s="7">
        <v>5</v>
      </c>
      <c r="J74" s="8">
        <v>5</v>
      </c>
    </row>
    <row r="75" spans="1:10" x14ac:dyDescent="0.25">
      <c r="A75" s="6">
        <v>501222</v>
      </c>
      <c r="B75" s="7">
        <v>2</v>
      </c>
      <c r="C75" s="7">
        <v>547.05535433971602</v>
      </c>
      <c r="D75" s="7">
        <v>8</v>
      </c>
      <c r="E75" s="1">
        <v>8</v>
      </c>
      <c r="F75" s="7">
        <v>5</v>
      </c>
      <c r="G75" s="7">
        <v>5</v>
      </c>
      <c r="H75" s="7">
        <v>5</v>
      </c>
      <c r="I75" s="7">
        <v>5</v>
      </c>
      <c r="J75" s="8">
        <v>5</v>
      </c>
    </row>
    <row r="76" spans="1:10" hidden="1" x14ac:dyDescent="0.25">
      <c r="A76" s="6">
        <v>501289</v>
      </c>
      <c r="B76" s="7">
        <v>1</v>
      </c>
      <c r="C76" s="7">
        <v>461.94618401711801</v>
      </c>
      <c r="D76" s="7">
        <v>5</v>
      </c>
      <c r="E76" s="1">
        <v>5</v>
      </c>
      <c r="F76" s="7">
        <v>5</v>
      </c>
      <c r="G76" s="7">
        <v>5</v>
      </c>
      <c r="H76" s="7">
        <v>5</v>
      </c>
      <c r="I76" s="7">
        <v>5</v>
      </c>
      <c r="J76" s="8">
        <v>5</v>
      </c>
    </row>
    <row r="77" spans="1:10" x14ac:dyDescent="0.25">
      <c r="A77" s="6">
        <v>501290</v>
      </c>
      <c r="B77" s="7">
        <v>2</v>
      </c>
      <c r="C77" s="7">
        <v>1246.1946443316299</v>
      </c>
      <c r="D77" s="7">
        <v>6</v>
      </c>
      <c r="E77" s="1">
        <v>7</v>
      </c>
      <c r="F77" s="7">
        <v>5</v>
      </c>
      <c r="G77" s="7">
        <v>5</v>
      </c>
      <c r="H77" s="7">
        <v>5</v>
      </c>
      <c r="I77" s="7">
        <v>5</v>
      </c>
      <c r="J77" s="8">
        <v>5</v>
      </c>
    </row>
    <row r="78" spans="1:10" x14ac:dyDescent="0.25">
      <c r="A78" s="6">
        <v>501294</v>
      </c>
      <c r="B78" s="7">
        <v>2</v>
      </c>
      <c r="C78" s="7">
        <v>634.71873665476801</v>
      </c>
      <c r="D78" s="7">
        <v>8</v>
      </c>
      <c r="E78" s="1">
        <v>8</v>
      </c>
      <c r="F78" s="7">
        <v>5</v>
      </c>
      <c r="G78" s="7">
        <v>5</v>
      </c>
      <c r="H78" s="7">
        <v>5</v>
      </c>
      <c r="I78" s="7">
        <v>5</v>
      </c>
      <c r="J78" s="8">
        <v>5</v>
      </c>
    </row>
    <row r="79" spans="1:10" x14ac:dyDescent="0.25">
      <c r="A79" s="6">
        <v>501296</v>
      </c>
      <c r="B79" s="7">
        <v>2</v>
      </c>
      <c r="C79" s="7">
        <v>461.58521940419001</v>
      </c>
      <c r="D79" s="7">
        <v>8</v>
      </c>
      <c r="E79" s="1">
        <v>8</v>
      </c>
      <c r="F79" s="7">
        <v>5</v>
      </c>
      <c r="G79" s="7">
        <v>5</v>
      </c>
      <c r="H79" s="7">
        <v>5</v>
      </c>
      <c r="I79" s="7">
        <v>5</v>
      </c>
      <c r="J79" s="8">
        <v>5</v>
      </c>
    </row>
    <row r="80" spans="1:10" x14ac:dyDescent="0.25">
      <c r="A80" s="6">
        <v>501305</v>
      </c>
      <c r="B80" s="7">
        <v>2</v>
      </c>
      <c r="C80" s="7">
        <v>267.68350225081201</v>
      </c>
      <c r="D80" s="7">
        <v>8</v>
      </c>
      <c r="E80" s="1">
        <v>8</v>
      </c>
      <c r="F80" s="7">
        <v>5</v>
      </c>
      <c r="G80" s="7">
        <v>5</v>
      </c>
      <c r="H80" s="7">
        <v>5</v>
      </c>
      <c r="I80" s="7">
        <v>5</v>
      </c>
      <c r="J80" s="8">
        <v>5</v>
      </c>
    </row>
    <row r="81" spans="1:10" hidden="1" x14ac:dyDescent="0.25">
      <c r="A81" s="6">
        <v>501307</v>
      </c>
      <c r="B81" s="7">
        <v>2</v>
      </c>
      <c r="C81" s="7">
        <v>1193.9315847451701</v>
      </c>
      <c r="D81" s="7">
        <v>7</v>
      </c>
      <c r="E81" s="1">
        <v>7</v>
      </c>
      <c r="F81" s="7">
        <v>5</v>
      </c>
      <c r="G81" s="7">
        <v>5</v>
      </c>
      <c r="H81" s="7">
        <v>5</v>
      </c>
      <c r="I81" s="7">
        <v>5</v>
      </c>
      <c r="J81" s="8">
        <v>5</v>
      </c>
    </row>
    <row r="82" spans="1:10" x14ac:dyDescent="0.25">
      <c r="A82" s="6">
        <v>501337</v>
      </c>
      <c r="B82" s="7">
        <v>1</v>
      </c>
      <c r="C82" s="7">
        <v>691.14951016694897</v>
      </c>
      <c r="D82" s="7">
        <v>8</v>
      </c>
      <c r="E82" s="1">
        <v>8</v>
      </c>
      <c r="F82" s="7">
        <v>5</v>
      </c>
      <c r="G82" s="7">
        <v>5</v>
      </c>
      <c r="H82" s="7">
        <v>5</v>
      </c>
      <c r="I82" s="7">
        <v>5</v>
      </c>
      <c r="J82" s="8">
        <v>5</v>
      </c>
    </row>
    <row r="83" spans="1:10" hidden="1" x14ac:dyDescent="0.25">
      <c r="A83" s="6">
        <v>501339</v>
      </c>
      <c r="B83" s="7">
        <v>2</v>
      </c>
      <c r="C83" s="7">
        <v>1034.6253240887399</v>
      </c>
      <c r="D83" s="7">
        <v>5</v>
      </c>
      <c r="E83" s="1">
        <v>6</v>
      </c>
      <c r="F83" s="7">
        <v>5</v>
      </c>
      <c r="G83" s="7">
        <v>5</v>
      </c>
      <c r="H83" s="7">
        <v>5</v>
      </c>
      <c r="I83" s="7">
        <v>5</v>
      </c>
      <c r="J83" s="8">
        <v>5</v>
      </c>
    </row>
    <row r="84" spans="1:10" hidden="1" x14ac:dyDescent="0.25">
      <c r="A84" s="6">
        <v>501362</v>
      </c>
      <c r="B84" s="7">
        <v>1</v>
      </c>
      <c r="C84" s="7">
        <v>933.07638544714996</v>
      </c>
      <c r="D84" s="7">
        <v>3</v>
      </c>
      <c r="E84" s="1">
        <v>3</v>
      </c>
      <c r="F84" s="7">
        <v>5</v>
      </c>
      <c r="G84" s="7">
        <v>5</v>
      </c>
      <c r="H84" s="7">
        <v>5</v>
      </c>
      <c r="I84" s="7">
        <v>5</v>
      </c>
      <c r="J84" s="8">
        <v>5</v>
      </c>
    </row>
    <row r="85" spans="1:10" hidden="1" x14ac:dyDescent="0.25">
      <c r="A85" s="6">
        <v>501367</v>
      </c>
      <c r="B85" s="7">
        <v>2</v>
      </c>
      <c r="C85" s="7">
        <v>455.43577905942902</v>
      </c>
      <c r="D85" s="7">
        <v>5</v>
      </c>
      <c r="E85" s="1">
        <v>5</v>
      </c>
      <c r="F85" s="7">
        <v>5</v>
      </c>
      <c r="G85" s="7">
        <v>5</v>
      </c>
      <c r="H85" s="7">
        <v>5</v>
      </c>
      <c r="I85" s="7">
        <v>5</v>
      </c>
      <c r="J85" s="8">
        <v>5</v>
      </c>
    </row>
    <row r="86" spans="1:10" hidden="1" x14ac:dyDescent="0.25">
      <c r="A86" s="6">
        <v>501370</v>
      </c>
      <c r="B86" s="7">
        <v>1</v>
      </c>
      <c r="C86" s="7">
        <v>1307.09227339067</v>
      </c>
      <c r="D86" s="7">
        <v>5</v>
      </c>
      <c r="E86" s="1">
        <v>5</v>
      </c>
      <c r="F86" s="7">
        <v>5</v>
      </c>
      <c r="G86" s="7">
        <v>5</v>
      </c>
      <c r="H86" s="7">
        <v>5</v>
      </c>
      <c r="I86" s="7">
        <v>5</v>
      </c>
      <c r="J86" s="8">
        <v>5</v>
      </c>
    </row>
    <row r="87" spans="1:10" hidden="1" x14ac:dyDescent="0.25">
      <c r="A87" s="6">
        <v>501371</v>
      </c>
      <c r="B87" s="7">
        <v>2</v>
      </c>
      <c r="C87" s="7">
        <v>92.377684456550796</v>
      </c>
      <c r="D87" s="7">
        <v>7</v>
      </c>
      <c r="E87" s="1">
        <v>5</v>
      </c>
      <c r="F87" s="7">
        <v>5</v>
      </c>
      <c r="G87" s="7">
        <v>5</v>
      </c>
      <c r="H87" s="7">
        <v>5</v>
      </c>
      <c r="I87" s="7">
        <v>5</v>
      </c>
      <c r="J87" s="8">
        <v>5</v>
      </c>
    </row>
    <row r="88" spans="1:10" hidden="1" x14ac:dyDescent="0.25">
      <c r="A88" s="6">
        <v>501400</v>
      </c>
      <c r="B88" s="7">
        <v>1</v>
      </c>
      <c r="C88" s="7">
        <v>980.13121352279302</v>
      </c>
      <c r="D88" s="7">
        <v>3</v>
      </c>
      <c r="E88" s="1">
        <v>3</v>
      </c>
      <c r="F88" s="7">
        <v>5</v>
      </c>
      <c r="G88" s="7">
        <v>5</v>
      </c>
      <c r="H88" s="7">
        <v>5</v>
      </c>
      <c r="I88" s="7">
        <v>5</v>
      </c>
      <c r="J88" s="8">
        <v>5</v>
      </c>
    </row>
    <row r="89" spans="1:10" hidden="1" x14ac:dyDescent="0.25">
      <c r="A89" s="6">
        <v>501406</v>
      </c>
      <c r="B89" s="7">
        <v>1</v>
      </c>
      <c r="C89" s="7">
        <v>2130.6040466656</v>
      </c>
      <c r="D89" s="7">
        <v>3</v>
      </c>
      <c r="E89" s="1">
        <v>3</v>
      </c>
      <c r="F89" s="7">
        <v>5</v>
      </c>
      <c r="G89" s="7">
        <v>5</v>
      </c>
      <c r="H89" s="7">
        <v>5</v>
      </c>
      <c r="I89" s="7">
        <v>5</v>
      </c>
      <c r="J89" s="8">
        <v>5</v>
      </c>
    </row>
    <row r="90" spans="1:10" hidden="1" x14ac:dyDescent="0.25">
      <c r="A90" s="6">
        <v>501454</v>
      </c>
      <c r="B90" s="7">
        <v>1</v>
      </c>
      <c r="C90" s="7">
        <v>1609.5856657076399</v>
      </c>
      <c r="D90" s="7">
        <v>5</v>
      </c>
      <c r="E90" s="1">
        <v>5</v>
      </c>
      <c r="F90" s="7">
        <v>5</v>
      </c>
      <c r="G90" s="7">
        <v>5</v>
      </c>
      <c r="H90" s="7">
        <v>5</v>
      </c>
      <c r="I90" s="7">
        <v>5</v>
      </c>
      <c r="J90" s="8">
        <v>5</v>
      </c>
    </row>
    <row r="91" spans="1:10" x14ac:dyDescent="0.25">
      <c r="A91" s="6">
        <v>501466</v>
      </c>
      <c r="B91" s="7">
        <v>2</v>
      </c>
      <c r="C91" s="7">
        <v>600.49719296597095</v>
      </c>
      <c r="D91" s="7">
        <v>6</v>
      </c>
      <c r="E91" s="1">
        <v>5</v>
      </c>
      <c r="F91" s="7">
        <v>5</v>
      </c>
      <c r="G91" s="7">
        <v>5</v>
      </c>
      <c r="H91" s="7">
        <v>5</v>
      </c>
      <c r="I91" s="7">
        <v>5</v>
      </c>
      <c r="J91" s="8">
        <v>5</v>
      </c>
    </row>
    <row r="92" spans="1:10" hidden="1" x14ac:dyDescent="0.25">
      <c r="A92" s="6">
        <v>501475</v>
      </c>
      <c r="B92" s="7">
        <v>1</v>
      </c>
      <c r="C92" s="7">
        <v>828.93097048246102</v>
      </c>
      <c r="D92" s="7">
        <v>3</v>
      </c>
      <c r="E92" s="1">
        <v>3</v>
      </c>
      <c r="F92" s="7">
        <v>5</v>
      </c>
      <c r="G92" s="7">
        <v>5</v>
      </c>
      <c r="H92" s="7">
        <v>5</v>
      </c>
      <c r="I92" s="7">
        <v>5</v>
      </c>
      <c r="J92" s="8">
        <v>5</v>
      </c>
    </row>
    <row r="93" spans="1:10" hidden="1" x14ac:dyDescent="0.25">
      <c r="A93" s="6">
        <v>501482</v>
      </c>
      <c r="B93" s="7">
        <v>1</v>
      </c>
      <c r="C93" s="7">
        <v>687.87431194170301</v>
      </c>
      <c r="D93" s="7">
        <v>2</v>
      </c>
      <c r="E93" s="1">
        <v>6</v>
      </c>
      <c r="F93" s="7">
        <v>5</v>
      </c>
      <c r="G93" s="7">
        <v>5</v>
      </c>
      <c r="H93" s="7">
        <v>5</v>
      </c>
      <c r="I93" s="7">
        <v>5</v>
      </c>
      <c r="J93" s="8">
        <v>5</v>
      </c>
    </row>
    <row r="94" spans="1:10" hidden="1" x14ac:dyDescent="0.25">
      <c r="A94" s="6">
        <v>501513</v>
      </c>
      <c r="B94" s="7">
        <v>2</v>
      </c>
      <c r="C94" s="7">
        <v>86.480916824856493</v>
      </c>
      <c r="D94" s="7">
        <v>7</v>
      </c>
      <c r="E94" s="1">
        <v>7</v>
      </c>
      <c r="F94" s="7">
        <v>5</v>
      </c>
      <c r="G94" s="7">
        <v>5</v>
      </c>
      <c r="H94" s="7">
        <v>5</v>
      </c>
      <c r="I94" s="7">
        <v>5</v>
      </c>
      <c r="J94" s="8">
        <v>5</v>
      </c>
    </row>
    <row r="95" spans="1:10" hidden="1" x14ac:dyDescent="0.25">
      <c r="A95" s="6">
        <v>501519</v>
      </c>
      <c r="B95" s="7">
        <v>2</v>
      </c>
      <c r="C95" s="7">
        <v>128.33462104681701</v>
      </c>
      <c r="D95" s="7">
        <v>5</v>
      </c>
      <c r="E95" s="1">
        <v>5</v>
      </c>
      <c r="F95" s="7">
        <v>5</v>
      </c>
      <c r="G95" s="7">
        <v>5</v>
      </c>
      <c r="H95" s="7">
        <v>5</v>
      </c>
      <c r="I95" s="7">
        <v>5</v>
      </c>
      <c r="J95" s="8">
        <v>5</v>
      </c>
    </row>
    <row r="96" spans="1:10" hidden="1" x14ac:dyDescent="0.25">
      <c r="A96" s="6">
        <v>501526</v>
      </c>
      <c r="B96" s="7">
        <v>1</v>
      </c>
      <c r="C96" s="7">
        <v>661.36818823649105</v>
      </c>
      <c r="D96" s="7">
        <v>2</v>
      </c>
      <c r="E96" s="1">
        <v>4</v>
      </c>
      <c r="F96" s="7">
        <v>5</v>
      </c>
      <c r="G96" s="7">
        <v>5</v>
      </c>
      <c r="H96" s="7">
        <v>5</v>
      </c>
      <c r="I96" s="7">
        <v>5</v>
      </c>
      <c r="J96" s="8">
        <v>5</v>
      </c>
    </row>
    <row r="97" spans="1:10" hidden="1" x14ac:dyDescent="0.25">
      <c r="A97" s="6">
        <v>501567</v>
      </c>
      <c r="B97" s="7">
        <v>1</v>
      </c>
      <c r="C97" s="7">
        <v>784.02050228139797</v>
      </c>
      <c r="D97" s="7">
        <v>4</v>
      </c>
      <c r="E97" s="1">
        <v>9</v>
      </c>
      <c r="F97" s="7">
        <v>5</v>
      </c>
      <c r="G97" s="7">
        <v>5</v>
      </c>
      <c r="H97" s="7">
        <v>5</v>
      </c>
      <c r="I97" s="7">
        <v>5</v>
      </c>
      <c r="J97" s="8">
        <v>5</v>
      </c>
    </row>
    <row r="98" spans="1:10" hidden="1" x14ac:dyDescent="0.25">
      <c r="A98" s="6">
        <v>501613</v>
      </c>
      <c r="B98" s="7">
        <v>2</v>
      </c>
      <c r="C98" s="7">
        <v>597.45037110598196</v>
      </c>
      <c r="D98" s="7">
        <v>2</v>
      </c>
      <c r="E98" s="1">
        <v>6</v>
      </c>
      <c r="F98" s="7">
        <v>5</v>
      </c>
      <c r="G98" s="7">
        <v>5</v>
      </c>
      <c r="H98" s="7">
        <v>5</v>
      </c>
      <c r="I98" s="7">
        <v>5</v>
      </c>
      <c r="J98" s="8">
        <v>5</v>
      </c>
    </row>
    <row r="99" spans="1:10" hidden="1" x14ac:dyDescent="0.25">
      <c r="A99" s="6">
        <v>501643</v>
      </c>
      <c r="B99" s="7">
        <v>2</v>
      </c>
      <c r="C99" s="7">
        <v>263.33808592857002</v>
      </c>
      <c r="D99" s="7">
        <v>7</v>
      </c>
      <c r="E99" s="1">
        <v>7</v>
      </c>
      <c r="F99" s="7">
        <v>5</v>
      </c>
      <c r="G99" s="7">
        <v>5</v>
      </c>
      <c r="H99" s="7">
        <v>5</v>
      </c>
      <c r="I99" s="7">
        <v>5</v>
      </c>
      <c r="J99" s="8">
        <v>5</v>
      </c>
    </row>
    <row r="100" spans="1:10" hidden="1" x14ac:dyDescent="0.25">
      <c r="A100" s="6">
        <v>501747</v>
      </c>
      <c r="B100" s="7">
        <v>1</v>
      </c>
      <c r="C100" s="7">
        <v>681.501968055887</v>
      </c>
      <c r="D100" s="7">
        <v>3</v>
      </c>
      <c r="E100" s="1">
        <v>3</v>
      </c>
      <c r="F100" s="7">
        <v>5</v>
      </c>
      <c r="G100" s="7">
        <v>5</v>
      </c>
      <c r="H100" s="7">
        <v>5</v>
      </c>
      <c r="I100" s="7">
        <v>5</v>
      </c>
      <c r="J100" s="8">
        <v>5</v>
      </c>
    </row>
    <row r="101" spans="1:10" hidden="1" x14ac:dyDescent="0.25">
      <c r="A101" s="6">
        <v>501784</v>
      </c>
      <c r="B101" s="7">
        <v>2</v>
      </c>
      <c r="C101" s="7">
        <v>427.395490090647</v>
      </c>
      <c r="D101" s="7">
        <v>5</v>
      </c>
      <c r="E101" s="1">
        <v>5</v>
      </c>
      <c r="F101" s="7">
        <v>5</v>
      </c>
      <c r="G101" s="7">
        <v>5</v>
      </c>
      <c r="H101" s="7">
        <v>5</v>
      </c>
      <c r="I101" s="7">
        <v>5</v>
      </c>
      <c r="J101" s="8">
        <v>5</v>
      </c>
    </row>
    <row r="102" spans="1:10" x14ac:dyDescent="0.25">
      <c r="A102" s="6">
        <v>501865</v>
      </c>
      <c r="B102" s="7">
        <v>2</v>
      </c>
      <c r="C102" s="7">
        <v>352.99413528447002</v>
      </c>
      <c r="D102" s="7">
        <v>8</v>
      </c>
      <c r="E102" s="1">
        <v>8</v>
      </c>
      <c r="F102" s="7">
        <v>5</v>
      </c>
      <c r="G102" s="7">
        <v>5</v>
      </c>
      <c r="H102" s="7">
        <v>5</v>
      </c>
      <c r="I102" s="7">
        <v>5</v>
      </c>
      <c r="J102" s="8">
        <v>5</v>
      </c>
    </row>
    <row r="103" spans="1:10" hidden="1" x14ac:dyDescent="0.25">
      <c r="A103" s="6">
        <v>501908</v>
      </c>
      <c r="B103" s="7">
        <v>1</v>
      </c>
      <c r="C103" s="7">
        <v>381.196323803072</v>
      </c>
      <c r="D103" s="7">
        <v>5</v>
      </c>
      <c r="E103" s="1">
        <v>5</v>
      </c>
      <c r="F103" s="7">
        <v>5</v>
      </c>
      <c r="G103" s="7">
        <v>5</v>
      </c>
      <c r="H103" s="7">
        <v>5</v>
      </c>
      <c r="I103" s="7">
        <v>5</v>
      </c>
      <c r="J103" s="8">
        <v>5</v>
      </c>
    </row>
    <row r="104" spans="1:10" hidden="1" x14ac:dyDescent="0.25">
      <c r="A104" s="6">
        <v>501935</v>
      </c>
      <c r="B104" s="7">
        <v>1</v>
      </c>
      <c r="C104" s="7">
        <v>453.46882029647497</v>
      </c>
      <c r="D104" s="7">
        <v>2</v>
      </c>
      <c r="E104" s="1">
        <v>4</v>
      </c>
      <c r="F104" s="7">
        <v>5</v>
      </c>
      <c r="G104" s="7">
        <v>5</v>
      </c>
      <c r="H104" s="7">
        <v>5</v>
      </c>
      <c r="I104" s="7">
        <v>5</v>
      </c>
      <c r="J104" s="8">
        <v>5</v>
      </c>
    </row>
    <row r="105" spans="1:10" hidden="1" x14ac:dyDescent="0.25">
      <c r="A105" s="6">
        <v>501944</v>
      </c>
      <c r="B105" s="7">
        <v>2</v>
      </c>
      <c r="C105" s="7">
        <v>362.37418202043801</v>
      </c>
      <c r="D105" s="7">
        <v>3</v>
      </c>
      <c r="E105" s="1">
        <v>5</v>
      </c>
      <c r="F105" s="7">
        <v>5</v>
      </c>
      <c r="G105" s="7">
        <v>5</v>
      </c>
      <c r="H105" s="7">
        <v>5</v>
      </c>
      <c r="I105" s="7">
        <v>5</v>
      </c>
      <c r="J105" s="8">
        <v>5</v>
      </c>
    </row>
    <row r="106" spans="1:10" hidden="1" x14ac:dyDescent="0.25">
      <c r="A106" s="6">
        <v>501954</v>
      </c>
      <c r="B106" s="7">
        <v>1</v>
      </c>
      <c r="C106" s="7">
        <v>588.12797260281502</v>
      </c>
      <c r="D106" s="7">
        <v>7</v>
      </c>
      <c r="E106" s="1">
        <v>7</v>
      </c>
      <c r="F106" s="7">
        <v>5</v>
      </c>
      <c r="G106" s="7">
        <v>5</v>
      </c>
      <c r="H106" s="7">
        <v>5</v>
      </c>
      <c r="I106" s="7">
        <v>5</v>
      </c>
      <c r="J106" s="8">
        <v>5</v>
      </c>
    </row>
    <row r="107" spans="1:10" hidden="1" x14ac:dyDescent="0.25">
      <c r="A107" s="6">
        <v>501956</v>
      </c>
      <c r="B107" s="7">
        <v>1</v>
      </c>
      <c r="C107" s="7">
        <v>468.29391572620102</v>
      </c>
      <c r="D107" s="7">
        <v>2</v>
      </c>
      <c r="E107" s="1">
        <v>7</v>
      </c>
      <c r="F107" s="7">
        <v>5</v>
      </c>
      <c r="G107" s="7">
        <v>5</v>
      </c>
      <c r="H107" s="7">
        <v>5</v>
      </c>
      <c r="I107" s="7">
        <v>5</v>
      </c>
      <c r="J107" s="8">
        <v>5</v>
      </c>
    </row>
    <row r="108" spans="1:10" hidden="1" x14ac:dyDescent="0.25">
      <c r="A108" s="6">
        <v>501970</v>
      </c>
      <c r="B108" s="7">
        <v>1</v>
      </c>
      <c r="C108" s="7">
        <v>774.92138876313595</v>
      </c>
      <c r="D108" s="7">
        <v>2</v>
      </c>
      <c r="E108" s="1">
        <v>7</v>
      </c>
      <c r="F108" s="7">
        <v>5</v>
      </c>
      <c r="G108" s="7">
        <v>5</v>
      </c>
      <c r="H108" s="7">
        <v>5</v>
      </c>
      <c r="I108" s="7">
        <v>5</v>
      </c>
      <c r="J108" s="8">
        <v>5</v>
      </c>
    </row>
    <row r="109" spans="1:10" hidden="1" x14ac:dyDescent="0.25">
      <c r="A109" s="6">
        <v>501974</v>
      </c>
      <c r="B109" s="7">
        <v>1</v>
      </c>
      <c r="C109" s="7">
        <v>542.89753686404595</v>
      </c>
      <c r="D109" s="7">
        <v>5</v>
      </c>
      <c r="E109" s="1">
        <v>5</v>
      </c>
      <c r="F109" s="7">
        <v>5</v>
      </c>
      <c r="G109" s="7">
        <v>5</v>
      </c>
      <c r="H109" s="7">
        <v>5</v>
      </c>
      <c r="I109" s="7">
        <v>5</v>
      </c>
      <c r="J109" s="8">
        <v>5</v>
      </c>
    </row>
    <row r="110" spans="1:10" x14ac:dyDescent="0.25">
      <c r="A110" s="6">
        <v>501993</v>
      </c>
      <c r="B110" s="7">
        <v>2</v>
      </c>
      <c r="C110" s="7">
        <v>392.46558596616302</v>
      </c>
      <c r="D110" s="7">
        <v>6</v>
      </c>
      <c r="E110" s="1">
        <v>7</v>
      </c>
      <c r="F110" s="7">
        <v>5</v>
      </c>
      <c r="G110" s="7">
        <v>5</v>
      </c>
      <c r="H110" s="7">
        <v>5</v>
      </c>
      <c r="I110" s="7">
        <v>5</v>
      </c>
      <c r="J110" s="8">
        <v>5</v>
      </c>
    </row>
    <row r="111" spans="1:10" hidden="1" x14ac:dyDescent="0.25">
      <c r="A111" s="6">
        <v>502002</v>
      </c>
      <c r="B111" s="7">
        <v>1</v>
      </c>
      <c r="C111" s="7">
        <v>519.27722341361402</v>
      </c>
      <c r="D111" s="7">
        <v>4</v>
      </c>
      <c r="E111" s="1">
        <v>4</v>
      </c>
      <c r="F111" s="7">
        <v>5</v>
      </c>
      <c r="G111" s="7">
        <v>5</v>
      </c>
      <c r="H111" s="7">
        <v>5</v>
      </c>
      <c r="I111" s="7">
        <v>5</v>
      </c>
      <c r="J111" s="8">
        <v>5</v>
      </c>
    </row>
    <row r="112" spans="1:10" hidden="1" x14ac:dyDescent="0.25">
      <c r="A112" s="6">
        <v>502019</v>
      </c>
      <c r="B112" s="7">
        <v>1</v>
      </c>
      <c r="C112" s="7">
        <v>1050.67887618741</v>
      </c>
      <c r="D112" s="7">
        <v>5</v>
      </c>
      <c r="E112" s="1">
        <v>5</v>
      </c>
      <c r="F112" s="7">
        <v>5</v>
      </c>
      <c r="G112" s="7">
        <v>5</v>
      </c>
      <c r="H112" s="7">
        <v>5</v>
      </c>
      <c r="I112" s="7">
        <v>5</v>
      </c>
      <c r="J112" s="8">
        <v>5</v>
      </c>
    </row>
    <row r="113" spans="1:10" hidden="1" x14ac:dyDescent="0.25">
      <c r="A113" s="6">
        <v>502031</v>
      </c>
      <c r="B113" s="7">
        <v>1</v>
      </c>
      <c r="C113" s="7">
        <v>1104.0132477632101</v>
      </c>
      <c r="D113" s="7">
        <v>7</v>
      </c>
      <c r="E113" s="1">
        <v>4</v>
      </c>
      <c r="F113" s="7">
        <v>5</v>
      </c>
      <c r="G113" s="7">
        <v>5</v>
      </c>
      <c r="H113" s="7">
        <v>5</v>
      </c>
      <c r="I113" s="7">
        <v>5</v>
      </c>
      <c r="J113" s="8">
        <v>5</v>
      </c>
    </row>
    <row r="114" spans="1:10" hidden="1" x14ac:dyDescent="0.25">
      <c r="A114" s="6">
        <v>502054</v>
      </c>
      <c r="B114" s="7">
        <v>2</v>
      </c>
      <c r="C114" s="7">
        <v>566.01704153456603</v>
      </c>
      <c r="D114" s="7">
        <v>7</v>
      </c>
      <c r="E114" s="1">
        <v>8</v>
      </c>
      <c r="F114" s="7">
        <v>5</v>
      </c>
      <c r="G114" s="7">
        <v>5</v>
      </c>
      <c r="H114" s="7">
        <v>5</v>
      </c>
      <c r="I114" s="7">
        <v>5</v>
      </c>
      <c r="J114" s="8">
        <v>5</v>
      </c>
    </row>
    <row r="115" spans="1:10" hidden="1" x14ac:dyDescent="0.25">
      <c r="A115" s="6">
        <v>502083</v>
      </c>
      <c r="B115" s="7">
        <v>1</v>
      </c>
      <c r="C115" s="7">
        <v>105.683098729855</v>
      </c>
      <c r="D115" s="7">
        <v>2</v>
      </c>
      <c r="E115" s="1">
        <v>5</v>
      </c>
      <c r="F115" s="7">
        <v>5</v>
      </c>
      <c r="G115" s="7">
        <v>5</v>
      </c>
      <c r="H115" s="7">
        <v>5</v>
      </c>
      <c r="I115" s="7">
        <v>5</v>
      </c>
      <c r="J115" s="8">
        <v>5</v>
      </c>
    </row>
    <row r="116" spans="1:10" hidden="1" x14ac:dyDescent="0.25">
      <c r="A116" s="6">
        <v>502089</v>
      </c>
      <c r="B116" s="7">
        <v>2</v>
      </c>
      <c r="C116" s="7">
        <v>427.20634782217701</v>
      </c>
      <c r="D116" s="7">
        <v>7</v>
      </c>
      <c r="E116" s="1">
        <v>7</v>
      </c>
      <c r="F116" s="7">
        <v>5</v>
      </c>
      <c r="G116" s="7">
        <v>5</v>
      </c>
      <c r="H116" s="7">
        <v>5</v>
      </c>
      <c r="I116" s="7">
        <v>5</v>
      </c>
      <c r="J116" s="8">
        <v>5</v>
      </c>
    </row>
    <row r="117" spans="1:10" hidden="1" x14ac:dyDescent="0.25">
      <c r="A117" s="6">
        <v>502099</v>
      </c>
      <c r="B117" s="7">
        <v>2</v>
      </c>
      <c r="C117" s="7">
        <v>169.46051140489899</v>
      </c>
      <c r="D117" s="7">
        <v>7</v>
      </c>
      <c r="E117" s="1">
        <v>7</v>
      </c>
      <c r="F117" s="7">
        <v>5</v>
      </c>
      <c r="G117" s="7">
        <v>5</v>
      </c>
      <c r="H117" s="7">
        <v>5</v>
      </c>
      <c r="I117" s="7">
        <v>5</v>
      </c>
      <c r="J117" s="8">
        <v>5</v>
      </c>
    </row>
    <row r="118" spans="1:10" hidden="1" x14ac:dyDescent="0.25">
      <c r="A118" s="6">
        <v>502120</v>
      </c>
      <c r="B118" s="7">
        <v>2</v>
      </c>
      <c r="C118" s="7">
        <v>519.15895208238396</v>
      </c>
      <c r="D118" s="7">
        <v>7</v>
      </c>
      <c r="E118" s="1">
        <v>7</v>
      </c>
      <c r="F118" s="7">
        <v>5</v>
      </c>
      <c r="G118" s="7">
        <v>5</v>
      </c>
      <c r="H118" s="7">
        <v>5</v>
      </c>
      <c r="I118" s="7">
        <v>5</v>
      </c>
      <c r="J118" s="8">
        <v>5</v>
      </c>
    </row>
    <row r="119" spans="1:10" x14ac:dyDescent="0.25">
      <c r="A119" s="6">
        <v>502134</v>
      </c>
      <c r="B119" s="7">
        <v>1</v>
      </c>
      <c r="C119" s="7">
        <v>154.16118517380801</v>
      </c>
      <c r="D119" s="7">
        <v>8</v>
      </c>
      <c r="E119" s="1">
        <v>8</v>
      </c>
      <c r="F119" s="7">
        <v>5</v>
      </c>
      <c r="G119" s="7">
        <v>5</v>
      </c>
      <c r="H119" s="7">
        <v>5</v>
      </c>
      <c r="I119" s="7">
        <v>5</v>
      </c>
      <c r="J119" s="8">
        <v>5</v>
      </c>
    </row>
    <row r="120" spans="1:10" hidden="1" x14ac:dyDescent="0.25">
      <c r="A120" s="6">
        <v>502135</v>
      </c>
      <c r="B120" s="7">
        <v>1</v>
      </c>
      <c r="C120" s="7">
        <v>544.83322930682004</v>
      </c>
      <c r="D120" s="7">
        <v>2</v>
      </c>
      <c r="E120" s="1">
        <v>4</v>
      </c>
      <c r="F120" s="7">
        <v>5</v>
      </c>
      <c r="G120" s="7">
        <v>5</v>
      </c>
      <c r="H120" s="7">
        <v>5</v>
      </c>
      <c r="I120" s="7">
        <v>5</v>
      </c>
      <c r="J120" s="8">
        <v>5</v>
      </c>
    </row>
    <row r="121" spans="1:10" hidden="1" x14ac:dyDescent="0.25">
      <c r="A121" s="6">
        <v>502152</v>
      </c>
      <c r="B121" s="7">
        <v>2</v>
      </c>
      <c r="C121" s="7">
        <v>1022.38665653089</v>
      </c>
      <c r="D121" s="7">
        <v>7</v>
      </c>
      <c r="E121" s="1">
        <v>7</v>
      </c>
      <c r="F121" s="7">
        <v>5</v>
      </c>
      <c r="G121" s="7">
        <v>5</v>
      </c>
      <c r="H121" s="7">
        <v>5</v>
      </c>
      <c r="I121" s="7">
        <v>5</v>
      </c>
      <c r="J121" s="8">
        <v>5</v>
      </c>
    </row>
    <row r="122" spans="1:10" hidden="1" x14ac:dyDescent="0.25">
      <c r="A122" s="6">
        <v>502160</v>
      </c>
      <c r="B122" s="7">
        <v>1</v>
      </c>
      <c r="C122" s="7">
        <v>1264.0979116118499</v>
      </c>
      <c r="D122" s="7">
        <v>2</v>
      </c>
      <c r="E122" s="1">
        <v>5</v>
      </c>
      <c r="F122" s="7">
        <v>5</v>
      </c>
      <c r="G122" s="7">
        <v>5</v>
      </c>
      <c r="H122" s="7">
        <v>5</v>
      </c>
      <c r="I122" s="7">
        <v>5</v>
      </c>
      <c r="J122" s="8">
        <v>5</v>
      </c>
    </row>
    <row r="123" spans="1:10" hidden="1" x14ac:dyDescent="0.25">
      <c r="A123" s="6">
        <v>502193</v>
      </c>
      <c r="B123" s="7">
        <v>1</v>
      </c>
      <c r="C123" s="7">
        <v>381.40910419263002</v>
      </c>
      <c r="D123" s="7">
        <v>5</v>
      </c>
      <c r="E123" s="1">
        <v>5</v>
      </c>
      <c r="F123" s="7">
        <v>5</v>
      </c>
      <c r="G123" s="7">
        <v>5</v>
      </c>
      <c r="H123" s="7">
        <v>5</v>
      </c>
      <c r="I123" s="7">
        <v>5</v>
      </c>
      <c r="J123" s="8">
        <v>5</v>
      </c>
    </row>
    <row r="124" spans="1:10" hidden="1" x14ac:dyDescent="0.25">
      <c r="A124" s="6">
        <v>502215</v>
      </c>
      <c r="B124" s="7">
        <v>2</v>
      </c>
      <c r="C124" s="7">
        <v>1400.47003804479</v>
      </c>
      <c r="D124" s="7">
        <v>5</v>
      </c>
      <c r="E124" s="1">
        <v>5</v>
      </c>
      <c r="F124" s="7">
        <v>5</v>
      </c>
      <c r="G124" s="7">
        <v>5</v>
      </c>
      <c r="H124" s="7">
        <v>5</v>
      </c>
      <c r="I124" s="7">
        <v>5</v>
      </c>
      <c r="J124" s="8">
        <v>5</v>
      </c>
    </row>
    <row r="125" spans="1:10" hidden="1" x14ac:dyDescent="0.25">
      <c r="A125" s="6">
        <v>502218</v>
      </c>
      <c r="B125" s="7">
        <v>2</v>
      </c>
      <c r="C125" s="7">
        <v>116.897656098468</v>
      </c>
      <c r="D125" s="7">
        <v>2</v>
      </c>
      <c r="E125" s="1">
        <v>4</v>
      </c>
      <c r="F125" s="7">
        <v>5</v>
      </c>
      <c r="G125" s="7">
        <v>5</v>
      </c>
      <c r="H125" s="7">
        <v>5</v>
      </c>
      <c r="I125" s="7">
        <v>5</v>
      </c>
      <c r="J125" s="8">
        <v>5</v>
      </c>
    </row>
    <row r="126" spans="1:10" x14ac:dyDescent="0.25">
      <c r="A126" s="6">
        <v>502232</v>
      </c>
      <c r="B126" s="7">
        <v>1</v>
      </c>
      <c r="C126" s="7">
        <v>616.14728385811804</v>
      </c>
      <c r="D126" s="7">
        <v>8</v>
      </c>
      <c r="E126" s="1">
        <v>8</v>
      </c>
      <c r="F126" s="7">
        <v>5</v>
      </c>
      <c r="G126" s="7">
        <v>5</v>
      </c>
      <c r="H126" s="7">
        <v>5</v>
      </c>
      <c r="I126" s="7">
        <v>5</v>
      </c>
      <c r="J126" s="8">
        <v>5</v>
      </c>
    </row>
    <row r="127" spans="1:10" x14ac:dyDescent="0.25">
      <c r="A127" s="6">
        <v>502236</v>
      </c>
      <c r="B127" s="7">
        <v>2</v>
      </c>
      <c r="C127" s="7">
        <v>399.49506278144003</v>
      </c>
      <c r="D127" s="7">
        <v>9</v>
      </c>
      <c r="E127" s="1">
        <v>3</v>
      </c>
      <c r="F127" s="7">
        <v>5</v>
      </c>
      <c r="G127" s="7">
        <v>5</v>
      </c>
      <c r="H127" s="7">
        <v>5</v>
      </c>
      <c r="I127" s="7">
        <v>5</v>
      </c>
      <c r="J127" s="8">
        <v>5</v>
      </c>
    </row>
    <row r="128" spans="1:10" hidden="1" x14ac:dyDescent="0.25">
      <c r="A128" s="6">
        <v>502238</v>
      </c>
      <c r="B128" s="7">
        <v>2</v>
      </c>
      <c r="C128" s="7">
        <v>26.269039938607399</v>
      </c>
      <c r="D128" s="7">
        <v>5</v>
      </c>
      <c r="E128" s="1">
        <v>5</v>
      </c>
      <c r="F128" s="7">
        <v>5</v>
      </c>
      <c r="G128" s="7">
        <v>5</v>
      </c>
      <c r="H128" s="7">
        <v>5</v>
      </c>
      <c r="I128" s="7">
        <v>5</v>
      </c>
      <c r="J128" s="8">
        <v>5</v>
      </c>
    </row>
    <row r="129" spans="1:10" hidden="1" x14ac:dyDescent="0.25">
      <c r="A129" s="6">
        <v>502239</v>
      </c>
      <c r="B129" s="7">
        <v>1</v>
      </c>
      <c r="C129" s="7">
        <v>505.46007591107002</v>
      </c>
      <c r="D129" s="7">
        <v>4</v>
      </c>
      <c r="E129" s="1">
        <v>4</v>
      </c>
      <c r="F129" s="7">
        <v>5</v>
      </c>
      <c r="G129" s="7">
        <v>5</v>
      </c>
      <c r="H129" s="7">
        <v>5</v>
      </c>
      <c r="I129" s="7">
        <v>5</v>
      </c>
      <c r="J129" s="8">
        <v>5</v>
      </c>
    </row>
    <row r="130" spans="1:10" hidden="1" x14ac:dyDescent="0.25">
      <c r="A130" s="6">
        <v>502243</v>
      </c>
      <c r="B130" s="7">
        <v>1</v>
      </c>
      <c r="C130" s="7">
        <v>948.33091008396798</v>
      </c>
      <c r="D130" s="7">
        <v>5</v>
      </c>
      <c r="E130" s="1">
        <v>5</v>
      </c>
      <c r="F130" s="7">
        <v>5</v>
      </c>
      <c r="G130" s="7">
        <v>5</v>
      </c>
      <c r="H130" s="7">
        <v>5</v>
      </c>
      <c r="I130" s="7">
        <v>5</v>
      </c>
      <c r="J130" s="8">
        <v>5</v>
      </c>
    </row>
    <row r="131" spans="1:10" x14ac:dyDescent="0.25">
      <c r="A131" s="6">
        <v>502257</v>
      </c>
      <c r="B131" s="7">
        <v>1</v>
      </c>
      <c r="C131" s="7">
        <v>701.94728943298503</v>
      </c>
      <c r="D131" s="7">
        <v>8</v>
      </c>
      <c r="E131" s="1">
        <v>8</v>
      </c>
      <c r="F131" s="7">
        <v>5</v>
      </c>
      <c r="G131" s="7">
        <v>5</v>
      </c>
      <c r="H131" s="7">
        <v>5</v>
      </c>
      <c r="I131" s="7">
        <v>5</v>
      </c>
      <c r="J131" s="8">
        <v>5</v>
      </c>
    </row>
    <row r="132" spans="1:10" hidden="1" x14ac:dyDescent="0.25">
      <c r="A132" s="6">
        <v>502259</v>
      </c>
      <c r="B132" s="7">
        <v>1</v>
      </c>
      <c r="C132" s="7">
        <v>1019.31218114622</v>
      </c>
      <c r="D132" s="7">
        <v>5</v>
      </c>
      <c r="E132" s="1">
        <v>5</v>
      </c>
      <c r="F132" s="7">
        <v>5</v>
      </c>
      <c r="G132" s="7">
        <v>5</v>
      </c>
      <c r="H132" s="7">
        <v>5</v>
      </c>
      <c r="I132" s="7">
        <v>5</v>
      </c>
      <c r="J132" s="8">
        <v>5</v>
      </c>
    </row>
    <row r="133" spans="1:10" hidden="1" x14ac:dyDescent="0.25">
      <c r="A133" s="6">
        <v>502268</v>
      </c>
      <c r="B133" s="7">
        <v>2</v>
      </c>
      <c r="C133" s="7">
        <v>131.79927686104099</v>
      </c>
      <c r="D133" s="7">
        <v>5</v>
      </c>
      <c r="E133" s="1">
        <v>8</v>
      </c>
      <c r="F133" s="7">
        <v>5</v>
      </c>
      <c r="G133" s="7">
        <v>5</v>
      </c>
      <c r="H133" s="7">
        <v>5</v>
      </c>
      <c r="I133" s="7">
        <v>5</v>
      </c>
      <c r="J133" s="8">
        <v>5</v>
      </c>
    </row>
    <row r="134" spans="1:10" x14ac:dyDescent="0.25">
      <c r="A134" s="6">
        <v>502274</v>
      </c>
      <c r="B134" s="7">
        <v>2</v>
      </c>
      <c r="C134" s="7">
        <v>130.96406371762299</v>
      </c>
      <c r="D134" s="7">
        <v>8</v>
      </c>
      <c r="E134" s="1">
        <v>6</v>
      </c>
      <c r="F134" s="7">
        <v>5</v>
      </c>
      <c r="G134" s="7">
        <v>5</v>
      </c>
      <c r="H134" s="7">
        <v>5</v>
      </c>
      <c r="I134" s="7">
        <v>5</v>
      </c>
      <c r="J134" s="8">
        <v>5</v>
      </c>
    </row>
    <row r="135" spans="1:10" hidden="1" x14ac:dyDescent="0.25">
      <c r="A135" s="6">
        <v>502275</v>
      </c>
      <c r="B135" s="7">
        <v>1</v>
      </c>
      <c r="C135" s="7">
        <v>317.31664345130702</v>
      </c>
      <c r="D135" s="7">
        <v>5</v>
      </c>
      <c r="E135" s="1">
        <v>5</v>
      </c>
      <c r="F135" s="7">
        <v>5</v>
      </c>
      <c r="G135" s="7">
        <v>5</v>
      </c>
      <c r="H135" s="7">
        <v>5</v>
      </c>
      <c r="I135" s="7">
        <v>5</v>
      </c>
      <c r="J135" s="8">
        <v>5</v>
      </c>
    </row>
    <row r="136" spans="1:10" hidden="1" x14ac:dyDescent="0.25">
      <c r="A136" s="6">
        <v>502327</v>
      </c>
      <c r="B136" s="7">
        <v>2</v>
      </c>
      <c r="C136" s="7">
        <v>697.71843462993695</v>
      </c>
      <c r="D136" s="7">
        <v>5</v>
      </c>
      <c r="E136" s="1">
        <v>9</v>
      </c>
      <c r="F136" s="7">
        <v>5</v>
      </c>
      <c r="G136" s="7">
        <v>5</v>
      </c>
      <c r="H136" s="7">
        <v>5</v>
      </c>
      <c r="I136" s="7">
        <v>5</v>
      </c>
      <c r="J136" s="8">
        <v>5</v>
      </c>
    </row>
    <row r="137" spans="1:10" hidden="1" x14ac:dyDescent="0.25">
      <c r="A137" s="6">
        <v>502344</v>
      </c>
      <c r="B137" s="7">
        <v>2</v>
      </c>
      <c r="C137" s="7">
        <v>585.04412964611595</v>
      </c>
      <c r="D137" s="7">
        <v>7</v>
      </c>
      <c r="E137" s="1">
        <v>7</v>
      </c>
      <c r="F137" s="7">
        <v>5</v>
      </c>
      <c r="G137" s="7">
        <v>5</v>
      </c>
      <c r="H137" s="7">
        <v>5</v>
      </c>
      <c r="I137" s="7">
        <v>5</v>
      </c>
      <c r="J137" s="8">
        <v>5</v>
      </c>
    </row>
    <row r="138" spans="1:10" hidden="1" x14ac:dyDescent="0.25">
      <c r="A138" s="6">
        <v>502390</v>
      </c>
      <c r="B138" s="7">
        <v>2</v>
      </c>
      <c r="C138" s="7">
        <v>380.14713889441703</v>
      </c>
      <c r="D138" s="7">
        <v>5</v>
      </c>
      <c r="E138" s="1">
        <v>5</v>
      </c>
      <c r="F138" s="7">
        <v>5</v>
      </c>
      <c r="G138" s="7">
        <v>5</v>
      </c>
      <c r="H138" s="7">
        <v>5</v>
      </c>
      <c r="I138" s="7">
        <v>5</v>
      </c>
      <c r="J138" s="8">
        <v>5</v>
      </c>
    </row>
    <row r="139" spans="1:10" x14ac:dyDescent="0.25">
      <c r="A139" s="6">
        <v>502395</v>
      </c>
      <c r="B139" s="7">
        <v>2</v>
      </c>
      <c r="C139" s="7">
        <v>514.48579351041803</v>
      </c>
      <c r="D139" s="7">
        <v>6</v>
      </c>
      <c r="E139" s="1">
        <v>7</v>
      </c>
      <c r="F139" s="7">
        <v>5</v>
      </c>
      <c r="G139" s="7">
        <v>5</v>
      </c>
      <c r="H139" s="7">
        <v>5</v>
      </c>
      <c r="I139" s="7">
        <v>5</v>
      </c>
      <c r="J139" s="8">
        <v>5</v>
      </c>
    </row>
    <row r="140" spans="1:10" hidden="1" x14ac:dyDescent="0.25">
      <c r="A140" s="6">
        <v>502445</v>
      </c>
      <c r="B140" s="7">
        <v>2</v>
      </c>
      <c r="C140" s="7">
        <v>152.606486931489</v>
      </c>
      <c r="D140" s="7">
        <v>5</v>
      </c>
      <c r="E140" s="1">
        <v>8</v>
      </c>
      <c r="F140" s="7">
        <v>5</v>
      </c>
      <c r="G140" s="7">
        <v>5</v>
      </c>
      <c r="H140" s="7">
        <v>5</v>
      </c>
      <c r="I140" s="7">
        <v>5</v>
      </c>
      <c r="J140" s="8">
        <v>5</v>
      </c>
    </row>
    <row r="141" spans="1:10" hidden="1" x14ac:dyDescent="0.25">
      <c r="A141" s="6">
        <v>502448</v>
      </c>
      <c r="B141" s="7">
        <v>2</v>
      </c>
      <c r="C141" s="7">
        <v>97.304405648039705</v>
      </c>
      <c r="D141" s="7">
        <v>7</v>
      </c>
      <c r="E141" s="1">
        <v>7</v>
      </c>
      <c r="F141" s="7">
        <v>5</v>
      </c>
      <c r="G141" s="7">
        <v>5</v>
      </c>
      <c r="H141" s="7">
        <v>5</v>
      </c>
      <c r="I141" s="7">
        <v>5</v>
      </c>
      <c r="J141" s="8">
        <v>5</v>
      </c>
    </row>
    <row r="142" spans="1:10" hidden="1" x14ac:dyDescent="0.25">
      <c r="A142" s="6">
        <v>502452</v>
      </c>
      <c r="B142" s="7">
        <v>1</v>
      </c>
      <c r="C142" s="7">
        <v>840.10723667181696</v>
      </c>
      <c r="D142" s="7">
        <v>3</v>
      </c>
      <c r="E142" s="1">
        <v>6</v>
      </c>
      <c r="F142" s="7">
        <v>5</v>
      </c>
      <c r="G142" s="7">
        <v>5</v>
      </c>
      <c r="H142" s="7">
        <v>5</v>
      </c>
      <c r="I142" s="7">
        <v>5</v>
      </c>
      <c r="J142" s="8">
        <v>5</v>
      </c>
    </row>
    <row r="143" spans="1:10" x14ac:dyDescent="0.25">
      <c r="A143" s="6">
        <v>502462</v>
      </c>
      <c r="B143" s="7">
        <v>2</v>
      </c>
      <c r="C143" s="7">
        <v>981.68231608368001</v>
      </c>
      <c r="D143" s="7">
        <v>6</v>
      </c>
      <c r="E143" s="1">
        <v>7</v>
      </c>
      <c r="F143" s="7">
        <v>5</v>
      </c>
      <c r="G143" s="7">
        <v>5</v>
      </c>
      <c r="H143" s="7">
        <v>5</v>
      </c>
      <c r="I143" s="7">
        <v>5</v>
      </c>
      <c r="J143" s="8">
        <v>5</v>
      </c>
    </row>
    <row r="144" spans="1:10" hidden="1" x14ac:dyDescent="0.25">
      <c r="A144" s="6">
        <v>502482</v>
      </c>
      <c r="B144" s="7">
        <v>1</v>
      </c>
      <c r="C144" s="7">
        <v>370.89380359328402</v>
      </c>
      <c r="D144" s="7">
        <v>5</v>
      </c>
      <c r="E144" s="1">
        <v>5</v>
      </c>
      <c r="F144" s="7">
        <v>5</v>
      </c>
      <c r="G144" s="7">
        <v>5</v>
      </c>
      <c r="H144" s="7">
        <v>5</v>
      </c>
      <c r="I144" s="7">
        <v>5</v>
      </c>
      <c r="J144" s="8">
        <v>5</v>
      </c>
    </row>
    <row r="145" spans="1:10" hidden="1" x14ac:dyDescent="0.25">
      <c r="A145" s="6">
        <v>502506</v>
      </c>
      <c r="B145" s="7">
        <v>1</v>
      </c>
      <c r="C145" s="7">
        <v>514.36946943783096</v>
      </c>
      <c r="D145" s="7">
        <v>2</v>
      </c>
      <c r="E145" s="1">
        <v>4</v>
      </c>
      <c r="F145" s="7">
        <v>5</v>
      </c>
      <c r="G145" s="7">
        <v>5</v>
      </c>
      <c r="H145" s="7">
        <v>5</v>
      </c>
      <c r="I145" s="7">
        <v>5</v>
      </c>
      <c r="J145" s="8">
        <v>5</v>
      </c>
    </row>
    <row r="146" spans="1:10" hidden="1" x14ac:dyDescent="0.25">
      <c r="A146" s="6">
        <v>502540</v>
      </c>
      <c r="B146" s="7">
        <v>1</v>
      </c>
      <c r="C146" s="7">
        <v>1143.7232116206301</v>
      </c>
      <c r="D146" s="7">
        <v>5</v>
      </c>
      <c r="E146" s="1">
        <v>5</v>
      </c>
      <c r="F146" s="7">
        <v>5</v>
      </c>
      <c r="G146" s="7">
        <v>5</v>
      </c>
      <c r="H146" s="7">
        <v>5</v>
      </c>
      <c r="I146" s="7">
        <v>5</v>
      </c>
      <c r="J146" s="8">
        <v>5</v>
      </c>
    </row>
    <row r="147" spans="1:10" x14ac:dyDescent="0.25">
      <c r="A147" s="6">
        <v>502544</v>
      </c>
      <c r="B147" s="7">
        <v>2</v>
      </c>
      <c r="C147" s="7">
        <v>1739.1094909917699</v>
      </c>
      <c r="D147" s="7">
        <v>6</v>
      </c>
      <c r="E147" s="1">
        <v>7</v>
      </c>
      <c r="F147" s="7">
        <v>5</v>
      </c>
      <c r="G147" s="7">
        <v>5</v>
      </c>
      <c r="H147" s="7">
        <v>5</v>
      </c>
      <c r="I147" s="7">
        <v>5</v>
      </c>
      <c r="J147" s="8">
        <v>5</v>
      </c>
    </row>
    <row r="148" spans="1:10" hidden="1" x14ac:dyDescent="0.25">
      <c r="A148" s="6">
        <v>502560</v>
      </c>
      <c r="B148" s="7">
        <v>1</v>
      </c>
      <c r="C148" s="7">
        <v>740.40369501911505</v>
      </c>
      <c r="D148" s="7">
        <v>7</v>
      </c>
      <c r="E148" s="1">
        <v>7</v>
      </c>
      <c r="F148" s="7">
        <v>5</v>
      </c>
      <c r="G148" s="7">
        <v>5</v>
      </c>
      <c r="H148" s="7">
        <v>5</v>
      </c>
      <c r="I148" s="7">
        <v>5</v>
      </c>
      <c r="J148" s="8">
        <v>5</v>
      </c>
    </row>
    <row r="149" spans="1:10" x14ac:dyDescent="0.25">
      <c r="A149" s="6">
        <v>502576</v>
      </c>
      <c r="B149" s="7">
        <v>2</v>
      </c>
      <c r="C149" s="7">
        <v>19.669796544939501</v>
      </c>
      <c r="D149" s="7">
        <v>8</v>
      </c>
      <c r="E149" s="1">
        <v>8</v>
      </c>
      <c r="F149" s="7">
        <v>5</v>
      </c>
      <c r="G149" s="7">
        <v>5</v>
      </c>
      <c r="H149" s="7">
        <v>5</v>
      </c>
      <c r="I149" s="7">
        <v>5</v>
      </c>
      <c r="J149" s="8">
        <v>5</v>
      </c>
    </row>
    <row r="150" spans="1:10" hidden="1" x14ac:dyDescent="0.25">
      <c r="A150" s="6">
        <v>502607</v>
      </c>
      <c r="B150" s="7">
        <v>2</v>
      </c>
      <c r="C150" s="7">
        <v>320.351821685277</v>
      </c>
      <c r="D150" s="7">
        <v>5</v>
      </c>
      <c r="E150" s="1">
        <v>5</v>
      </c>
      <c r="F150" s="7">
        <v>5</v>
      </c>
      <c r="G150" s="7">
        <v>5</v>
      </c>
      <c r="H150" s="7">
        <v>5</v>
      </c>
      <c r="I150" s="7">
        <v>5</v>
      </c>
      <c r="J150" s="8">
        <v>5</v>
      </c>
    </row>
    <row r="151" spans="1:10" x14ac:dyDescent="0.25">
      <c r="A151" s="6">
        <v>502651</v>
      </c>
      <c r="B151" s="7">
        <v>2</v>
      </c>
      <c r="C151" s="7">
        <v>966.17658738307603</v>
      </c>
      <c r="D151" s="7">
        <v>6</v>
      </c>
      <c r="E151" s="1">
        <v>6</v>
      </c>
      <c r="F151" s="7">
        <v>5</v>
      </c>
      <c r="G151" s="7">
        <v>5</v>
      </c>
      <c r="H151" s="7">
        <v>5</v>
      </c>
      <c r="I151" s="7">
        <v>5</v>
      </c>
      <c r="J151" s="8">
        <v>5</v>
      </c>
    </row>
    <row r="152" spans="1:10" hidden="1" x14ac:dyDescent="0.25">
      <c r="A152" s="6">
        <v>502689</v>
      </c>
      <c r="B152" s="7">
        <v>1</v>
      </c>
      <c r="C152" s="7">
        <v>303.48175354670502</v>
      </c>
      <c r="D152" s="7">
        <v>4</v>
      </c>
      <c r="E152" s="1">
        <v>4</v>
      </c>
      <c r="F152" s="7">
        <v>5</v>
      </c>
      <c r="G152" s="7">
        <v>5</v>
      </c>
      <c r="H152" s="7">
        <v>5</v>
      </c>
      <c r="I152" s="7">
        <v>5</v>
      </c>
      <c r="J152" s="8">
        <v>5</v>
      </c>
    </row>
    <row r="153" spans="1:10" x14ac:dyDescent="0.25">
      <c r="A153" s="6">
        <v>502690</v>
      </c>
      <c r="B153" s="7">
        <v>2</v>
      </c>
      <c r="C153" s="7">
        <v>424.36899539825401</v>
      </c>
      <c r="D153" s="7">
        <v>6</v>
      </c>
      <c r="E153" s="1">
        <v>5</v>
      </c>
      <c r="F153" s="7">
        <v>5</v>
      </c>
      <c r="G153" s="7">
        <v>5</v>
      </c>
      <c r="H153" s="7">
        <v>5</v>
      </c>
      <c r="I153" s="7">
        <v>5</v>
      </c>
      <c r="J153" s="8">
        <v>5</v>
      </c>
    </row>
    <row r="154" spans="1:10" x14ac:dyDescent="0.25">
      <c r="A154" s="6">
        <v>502704</v>
      </c>
      <c r="B154" s="7">
        <v>2</v>
      </c>
      <c r="C154" s="7">
        <v>687.33513603030497</v>
      </c>
      <c r="D154" s="7">
        <v>8</v>
      </c>
      <c r="E154" s="1">
        <v>8</v>
      </c>
      <c r="F154" s="7">
        <v>5</v>
      </c>
      <c r="G154" s="7">
        <v>5</v>
      </c>
      <c r="H154" s="7">
        <v>5</v>
      </c>
      <c r="I154" s="7">
        <v>5</v>
      </c>
      <c r="J154" s="8">
        <v>5</v>
      </c>
    </row>
    <row r="155" spans="1:10" hidden="1" x14ac:dyDescent="0.25">
      <c r="A155" s="6">
        <v>502726</v>
      </c>
      <c r="B155" s="7">
        <v>1</v>
      </c>
      <c r="C155" s="7">
        <v>791.96164942293001</v>
      </c>
      <c r="D155" s="7">
        <v>2</v>
      </c>
      <c r="E155" s="1">
        <v>4</v>
      </c>
      <c r="F155" s="7">
        <v>5</v>
      </c>
      <c r="G155" s="7">
        <v>5</v>
      </c>
      <c r="H155" s="7">
        <v>5</v>
      </c>
      <c r="I155" s="7">
        <v>5</v>
      </c>
      <c r="J155" s="8">
        <v>5</v>
      </c>
    </row>
    <row r="156" spans="1:10" hidden="1" x14ac:dyDescent="0.25">
      <c r="A156" s="6">
        <v>502757</v>
      </c>
      <c r="B156" s="7">
        <v>1</v>
      </c>
      <c r="C156" s="7">
        <v>1069.4126352936801</v>
      </c>
      <c r="D156" s="7">
        <v>2</v>
      </c>
      <c r="E156" s="1">
        <v>5</v>
      </c>
      <c r="F156" s="7">
        <v>5</v>
      </c>
      <c r="G156" s="7">
        <v>5</v>
      </c>
      <c r="H156" s="7">
        <v>5</v>
      </c>
      <c r="I156" s="7">
        <v>5</v>
      </c>
      <c r="J156" s="8">
        <v>5</v>
      </c>
    </row>
    <row r="157" spans="1:10" hidden="1" x14ac:dyDescent="0.25">
      <c r="A157" s="6">
        <v>502789</v>
      </c>
      <c r="B157" s="7">
        <v>1</v>
      </c>
      <c r="C157" s="7">
        <v>1722.34824263004</v>
      </c>
      <c r="D157" s="7">
        <v>5</v>
      </c>
      <c r="E157" s="1">
        <v>5</v>
      </c>
      <c r="F157" s="7">
        <v>5</v>
      </c>
      <c r="G157" s="7">
        <v>5</v>
      </c>
      <c r="H157" s="7">
        <v>5</v>
      </c>
      <c r="I157" s="7">
        <v>5</v>
      </c>
      <c r="J157" s="8">
        <v>5</v>
      </c>
    </row>
    <row r="158" spans="1:10" hidden="1" x14ac:dyDescent="0.25">
      <c r="A158" s="6">
        <v>502801</v>
      </c>
      <c r="B158" s="7">
        <v>1</v>
      </c>
      <c r="C158" s="7">
        <v>581.76197103057802</v>
      </c>
      <c r="D158" s="7">
        <v>5</v>
      </c>
      <c r="E158" s="1">
        <v>5</v>
      </c>
      <c r="F158" s="7">
        <v>5</v>
      </c>
      <c r="G158" s="7">
        <v>5</v>
      </c>
      <c r="H158" s="7">
        <v>5</v>
      </c>
      <c r="I158" s="7">
        <v>5</v>
      </c>
      <c r="J158" s="8">
        <v>5</v>
      </c>
    </row>
    <row r="159" spans="1:10" hidden="1" x14ac:dyDescent="0.25">
      <c r="A159" s="6">
        <v>502803</v>
      </c>
      <c r="B159" s="7">
        <v>1</v>
      </c>
      <c r="C159" s="7">
        <v>322.62083304921401</v>
      </c>
      <c r="D159" s="7">
        <v>7</v>
      </c>
      <c r="E159" s="1">
        <v>7</v>
      </c>
      <c r="F159" s="7">
        <v>5</v>
      </c>
      <c r="G159" s="7">
        <v>5</v>
      </c>
      <c r="H159" s="7">
        <v>5</v>
      </c>
      <c r="I159" s="7">
        <v>5</v>
      </c>
      <c r="J159" s="8">
        <v>5</v>
      </c>
    </row>
    <row r="160" spans="1:10" x14ac:dyDescent="0.25">
      <c r="A160" s="6">
        <v>502821</v>
      </c>
      <c r="B160" s="7">
        <v>2</v>
      </c>
      <c r="C160" s="7">
        <v>36.9473505913544</v>
      </c>
      <c r="D160" s="7">
        <v>8</v>
      </c>
      <c r="E160" s="1">
        <v>8</v>
      </c>
      <c r="F160" s="7">
        <v>5</v>
      </c>
      <c r="G160" s="7">
        <v>5</v>
      </c>
      <c r="H160" s="7">
        <v>5</v>
      </c>
      <c r="I160" s="7">
        <v>5</v>
      </c>
      <c r="J160" s="8">
        <v>5</v>
      </c>
    </row>
    <row r="161" spans="1:10" x14ac:dyDescent="0.25">
      <c r="A161" s="6">
        <v>502834</v>
      </c>
      <c r="B161" s="7">
        <v>2</v>
      </c>
      <c r="C161" s="7">
        <v>648.16117037215895</v>
      </c>
      <c r="D161" s="7">
        <v>6</v>
      </c>
      <c r="E161" s="1">
        <v>6</v>
      </c>
      <c r="F161" s="7">
        <v>5</v>
      </c>
      <c r="G161" s="7">
        <v>5</v>
      </c>
      <c r="H161" s="7">
        <v>5</v>
      </c>
      <c r="I161" s="7">
        <v>5</v>
      </c>
      <c r="J161" s="8">
        <v>5</v>
      </c>
    </row>
    <row r="162" spans="1:10" hidden="1" x14ac:dyDescent="0.25">
      <c r="A162" s="6">
        <v>502842</v>
      </c>
      <c r="B162" s="7">
        <v>1</v>
      </c>
      <c r="C162" s="7">
        <v>883.58936907170403</v>
      </c>
      <c r="D162" s="7">
        <v>5</v>
      </c>
      <c r="E162" s="1">
        <v>5</v>
      </c>
      <c r="F162" s="7">
        <v>5</v>
      </c>
      <c r="G162" s="7">
        <v>5</v>
      </c>
      <c r="H162" s="7">
        <v>5</v>
      </c>
      <c r="I162" s="7">
        <v>5</v>
      </c>
      <c r="J162" s="8">
        <v>5</v>
      </c>
    </row>
    <row r="163" spans="1:10" hidden="1" x14ac:dyDescent="0.25">
      <c r="A163" s="6">
        <v>502852</v>
      </c>
      <c r="B163" s="7">
        <v>1</v>
      </c>
      <c r="C163" s="7">
        <v>399.07495373954902</v>
      </c>
      <c r="D163" s="7">
        <v>5</v>
      </c>
      <c r="E163" s="1">
        <v>4</v>
      </c>
      <c r="F163" s="7">
        <v>5</v>
      </c>
      <c r="G163" s="7">
        <v>5</v>
      </c>
      <c r="H163" s="7">
        <v>5</v>
      </c>
      <c r="I163" s="7">
        <v>5</v>
      </c>
      <c r="J163" s="8">
        <v>5</v>
      </c>
    </row>
    <row r="164" spans="1:10" hidden="1" x14ac:dyDescent="0.25">
      <c r="A164" s="6">
        <v>502924</v>
      </c>
      <c r="B164" s="7">
        <v>1</v>
      </c>
      <c r="C164" s="7">
        <v>330.18626593868402</v>
      </c>
      <c r="D164" s="7">
        <v>7</v>
      </c>
      <c r="E164" s="1">
        <v>7</v>
      </c>
      <c r="F164" s="7">
        <v>5</v>
      </c>
      <c r="G164" s="7">
        <v>5</v>
      </c>
      <c r="H164" s="7">
        <v>5</v>
      </c>
      <c r="I164" s="7">
        <v>5</v>
      </c>
      <c r="J164" s="8">
        <v>5</v>
      </c>
    </row>
    <row r="165" spans="1:10" hidden="1" x14ac:dyDescent="0.25">
      <c r="A165" s="6">
        <v>503018</v>
      </c>
      <c r="B165" s="7">
        <v>1</v>
      </c>
      <c r="C165" s="7">
        <v>1254.8731191395</v>
      </c>
      <c r="D165" s="7">
        <v>2</v>
      </c>
      <c r="E165" s="1">
        <v>8</v>
      </c>
      <c r="F165" s="7">
        <v>5</v>
      </c>
      <c r="G165" s="7">
        <v>5</v>
      </c>
      <c r="H165" s="7">
        <v>5</v>
      </c>
      <c r="I165" s="7">
        <v>5</v>
      </c>
      <c r="J165" s="8">
        <v>5</v>
      </c>
    </row>
    <row r="166" spans="1:10" hidden="1" x14ac:dyDescent="0.25">
      <c r="A166" s="6">
        <v>503024</v>
      </c>
      <c r="B166" s="7">
        <v>1</v>
      </c>
      <c r="C166" s="7">
        <v>644.15962829455395</v>
      </c>
      <c r="D166" s="7">
        <v>2</v>
      </c>
      <c r="E166" s="1">
        <v>4</v>
      </c>
      <c r="F166" s="7">
        <v>5</v>
      </c>
      <c r="G166" s="7">
        <v>5</v>
      </c>
      <c r="H166" s="7">
        <v>5</v>
      </c>
      <c r="I166" s="7">
        <v>5</v>
      </c>
      <c r="J166" s="8">
        <v>5</v>
      </c>
    </row>
    <row r="167" spans="1:10" x14ac:dyDescent="0.25">
      <c r="A167" s="6">
        <v>503042</v>
      </c>
      <c r="B167" s="7">
        <v>2</v>
      </c>
      <c r="C167" s="7">
        <v>486.59644922196702</v>
      </c>
      <c r="D167" s="7">
        <v>6</v>
      </c>
      <c r="E167" s="1">
        <v>7</v>
      </c>
      <c r="F167" s="7">
        <v>5</v>
      </c>
      <c r="G167" s="7">
        <v>5</v>
      </c>
      <c r="H167" s="7">
        <v>5</v>
      </c>
      <c r="I167" s="7">
        <v>5</v>
      </c>
      <c r="J167" s="8">
        <v>5</v>
      </c>
    </row>
    <row r="168" spans="1:10" hidden="1" x14ac:dyDescent="0.25">
      <c r="A168" s="6">
        <v>503048</v>
      </c>
      <c r="B168" s="7">
        <v>1</v>
      </c>
      <c r="C168" s="7">
        <v>572.53685922140596</v>
      </c>
      <c r="D168" s="7">
        <v>5</v>
      </c>
      <c r="E168" s="1">
        <v>5</v>
      </c>
      <c r="F168" s="7">
        <v>5</v>
      </c>
      <c r="G168" s="7">
        <v>5</v>
      </c>
      <c r="H168" s="7">
        <v>5</v>
      </c>
      <c r="I168" s="7">
        <v>5</v>
      </c>
      <c r="J168" s="8">
        <v>5</v>
      </c>
    </row>
    <row r="169" spans="1:10" hidden="1" x14ac:dyDescent="0.25">
      <c r="A169" s="6">
        <v>503058</v>
      </c>
      <c r="B169" s="7">
        <v>2</v>
      </c>
      <c r="C169" s="7">
        <v>429.08801934947297</v>
      </c>
      <c r="D169" s="7">
        <v>5</v>
      </c>
      <c r="E169" s="1">
        <v>5</v>
      </c>
      <c r="F169" s="7">
        <v>5</v>
      </c>
      <c r="G169" s="7">
        <v>5</v>
      </c>
      <c r="H169" s="7">
        <v>5</v>
      </c>
      <c r="I169" s="7">
        <v>5</v>
      </c>
      <c r="J169" s="8">
        <v>5</v>
      </c>
    </row>
    <row r="170" spans="1:10" x14ac:dyDescent="0.25">
      <c r="A170" s="6">
        <v>503066</v>
      </c>
      <c r="B170" s="7">
        <v>2</v>
      </c>
      <c r="C170" s="7">
        <v>217.62064692651501</v>
      </c>
      <c r="D170" s="7">
        <v>6</v>
      </c>
      <c r="E170" s="1">
        <v>5</v>
      </c>
      <c r="F170" s="7">
        <v>5</v>
      </c>
      <c r="G170" s="7">
        <v>5</v>
      </c>
      <c r="H170" s="7">
        <v>5</v>
      </c>
      <c r="I170" s="7">
        <v>5</v>
      </c>
      <c r="J170" s="8">
        <v>5</v>
      </c>
    </row>
    <row r="171" spans="1:10" x14ac:dyDescent="0.25">
      <c r="A171" s="6">
        <v>503069</v>
      </c>
      <c r="B171" s="7">
        <v>2</v>
      </c>
      <c r="C171" s="7">
        <v>132.95510363128301</v>
      </c>
      <c r="D171" s="7">
        <v>8</v>
      </c>
      <c r="E171" s="1">
        <v>8</v>
      </c>
      <c r="F171" s="7">
        <v>5</v>
      </c>
      <c r="G171" s="7">
        <v>5</v>
      </c>
      <c r="H171" s="7">
        <v>5</v>
      </c>
      <c r="I171" s="7">
        <v>5</v>
      </c>
      <c r="J171" s="8">
        <v>5</v>
      </c>
    </row>
    <row r="172" spans="1:10" hidden="1" x14ac:dyDescent="0.25">
      <c r="A172" s="6">
        <v>503198</v>
      </c>
      <c r="B172" s="7">
        <v>1</v>
      </c>
      <c r="C172" s="7">
        <v>660.32489795874096</v>
      </c>
      <c r="D172" s="7">
        <v>5</v>
      </c>
      <c r="E172" s="1">
        <v>5</v>
      </c>
      <c r="F172" s="7">
        <v>5</v>
      </c>
      <c r="G172" s="7">
        <v>5</v>
      </c>
      <c r="H172" s="7">
        <v>5</v>
      </c>
      <c r="I172" s="7">
        <v>5</v>
      </c>
      <c r="J172" s="8">
        <v>5</v>
      </c>
    </row>
    <row r="173" spans="1:10" hidden="1" x14ac:dyDescent="0.25">
      <c r="A173" s="6">
        <v>503217</v>
      </c>
      <c r="B173" s="7">
        <v>2</v>
      </c>
      <c r="C173" s="7">
        <v>1007.59492056018</v>
      </c>
      <c r="D173" s="7">
        <v>5</v>
      </c>
      <c r="E173" s="1">
        <v>5</v>
      </c>
      <c r="F173" s="7">
        <v>5</v>
      </c>
      <c r="G173" s="7">
        <v>5</v>
      </c>
      <c r="H173" s="7">
        <v>5</v>
      </c>
      <c r="I173" s="7">
        <v>5</v>
      </c>
      <c r="J173" s="8">
        <v>5</v>
      </c>
    </row>
    <row r="174" spans="1:10" hidden="1" x14ac:dyDescent="0.25">
      <c r="A174" s="6">
        <v>503276</v>
      </c>
      <c r="B174" s="7">
        <v>2</v>
      </c>
      <c r="C174" s="7">
        <v>569.92048504168395</v>
      </c>
      <c r="D174" s="7">
        <v>5</v>
      </c>
      <c r="E174" s="1">
        <v>5</v>
      </c>
      <c r="F174" s="7">
        <v>5</v>
      </c>
      <c r="G174" s="7">
        <v>5</v>
      </c>
      <c r="H174" s="7">
        <v>5</v>
      </c>
      <c r="I174" s="7">
        <v>5</v>
      </c>
      <c r="J174" s="8">
        <v>5</v>
      </c>
    </row>
    <row r="175" spans="1:10" x14ac:dyDescent="0.25">
      <c r="A175" s="6">
        <v>503277</v>
      </c>
      <c r="B175" s="7">
        <v>2</v>
      </c>
      <c r="C175" s="7">
        <v>504.31580244186802</v>
      </c>
      <c r="D175" s="7">
        <v>8</v>
      </c>
      <c r="E175" s="1">
        <v>8</v>
      </c>
      <c r="F175" s="7">
        <v>5</v>
      </c>
      <c r="G175" s="7">
        <v>5</v>
      </c>
      <c r="H175" s="7">
        <v>5</v>
      </c>
      <c r="I175" s="7">
        <v>5</v>
      </c>
      <c r="J175" s="8">
        <v>5</v>
      </c>
    </row>
    <row r="176" spans="1:10" hidden="1" x14ac:dyDescent="0.25">
      <c r="A176" s="6">
        <v>503280</v>
      </c>
      <c r="B176" s="7">
        <v>2</v>
      </c>
      <c r="C176" s="7">
        <v>848.42023264132195</v>
      </c>
      <c r="D176" s="7">
        <v>7</v>
      </c>
      <c r="E176" s="1">
        <v>7</v>
      </c>
      <c r="F176" s="7">
        <v>5</v>
      </c>
      <c r="G176" s="7">
        <v>5</v>
      </c>
      <c r="H176" s="7">
        <v>5</v>
      </c>
      <c r="I176" s="7">
        <v>5</v>
      </c>
      <c r="J176" s="8">
        <v>5</v>
      </c>
    </row>
    <row r="177" spans="1:10" x14ac:dyDescent="0.25">
      <c r="A177" s="6">
        <v>503286</v>
      </c>
      <c r="B177" s="7">
        <v>1</v>
      </c>
      <c r="C177" s="7">
        <v>639.13847456069402</v>
      </c>
      <c r="D177" s="7">
        <v>9</v>
      </c>
      <c r="E177" s="1">
        <v>6</v>
      </c>
      <c r="F177" s="7">
        <v>5</v>
      </c>
      <c r="G177" s="7">
        <v>5</v>
      </c>
      <c r="H177" s="7">
        <v>5</v>
      </c>
      <c r="I177" s="7">
        <v>5</v>
      </c>
      <c r="J177" s="8">
        <v>5</v>
      </c>
    </row>
    <row r="178" spans="1:10" x14ac:dyDescent="0.25">
      <c r="A178" s="6">
        <v>503289</v>
      </c>
      <c r="B178" s="7">
        <v>2</v>
      </c>
      <c r="C178" s="7">
        <v>97.309656312558403</v>
      </c>
      <c r="D178" s="7">
        <v>9</v>
      </c>
      <c r="E178" s="1">
        <v>9</v>
      </c>
      <c r="F178" s="7">
        <v>5</v>
      </c>
      <c r="G178" s="7">
        <v>5</v>
      </c>
      <c r="H178" s="7">
        <v>5</v>
      </c>
      <c r="I178" s="7">
        <v>5</v>
      </c>
      <c r="J178" s="8">
        <v>5</v>
      </c>
    </row>
    <row r="179" spans="1:10" hidden="1" x14ac:dyDescent="0.25">
      <c r="A179" s="6">
        <v>503290</v>
      </c>
      <c r="B179" s="7">
        <v>2</v>
      </c>
      <c r="C179" s="7">
        <v>504.66902599143401</v>
      </c>
      <c r="D179" s="7">
        <v>7</v>
      </c>
      <c r="E179" s="1">
        <v>7</v>
      </c>
      <c r="F179" s="7">
        <v>5</v>
      </c>
      <c r="G179" s="7">
        <v>5</v>
      </c>
      <c r="H179" s="7">
        <v>5</v>
      </c>
      <c r="I179" s="7">
        <v>5</v>
      </c>
      <c r="J179" s="8">
        <v>5</v>
      </c>
    </row>
    <row r="180" spans="1:10" hidden="1" x14ac:dyDescent="0.25">
      <c r="A180" s="6">
        <v>503302</v>
      </c>
      <c r="B180" s="7">
        <v>1</v>
      </c>
      <c r="C180" s="7">
        <v>495.26951848478097</v>
      </c>
      <c r="D180" s="7">
        <v>4</v>
      </c>
      <c r="E180" s="1">
        <v>4</v>
      </c>
      <c r="F180" s="7">
        <v>5</v>
      </c>
      <c r="G180" s="7">
        <v>5</v>
      </c>
      <c r="H180" s="7">
        <v>5</v>
      </c>
      <c r="I180" s="7">
        <v>5</v>
      </c>
      <c r="J180" s="8">
        <v>5</v>
      </c>
    </row>
    <row r="181" spans="1:10" hidden="1" x14ac:dyDescent="0.25">
      <c r="A181" s="6">
        <v>503305</v>
      </c>
      <c r="B181" s="7">
        <v>1</v>
      </c>
      <c r="C181" s="7">
        <v>697.08964610923101</v>
      </c>
      <c r="D181" s="7">
        <v>7</v>
      </c>
      <c r="E181" s="1">
        <v>7</v>
      </c>
      <c r="F181" s="7">
        <v>5</v>
      </c>
      <c r="G181" s="7">
        <v>5</v>
      </c>
      <c r="H181" s="7">
        <v>5</v>
      </c>
      <c r="I181" s="7">
        <v>5</v>
      </c>
      <c r="J181" s="8">
        <v>5</v>
      </c>
    </row>
    <row r="182" spans="1:10" hidden="1" x14ac:dyDescent="0.25">
      <c r="A182" s="6">
        <v>503307</v>
      </c>
      <c r="B182" s="7">
        <v>1</v>
      </c>
      <c r="C182" s="7">
        <v>826.86151335345096</v>
      </c>
      <c r="D182" s="7">
        <v>5</v>
      </c>
      <c r="E182" s="1">
        <v>5</v>
      </c>
      <c r="F182" s="7">
        <v>5</v>
      </c>
      <c r="G182" s="7">
        <v>5</v>
      </c>
      <c r="H182" s="7">
        <v>5</v>
      </c>
      <c r="I182" s="7">
        <v>5</v>
      </c>
      <c r="J182" s="8">
        <v>5</v>
      </c>
    </row>
    <row r="183" spans="1:10" hidden="1" x14ac:dyDescent="0.25">
      <c r="A183" s="6">
        <v>503316</v>
      </c>
      <c r="B183" s="7">
        <v>2</v>
      </c>
      <c r="C183" s="7">
        <v>882.91448937087296</v>
      </c>
      <c r="D183" s="7">
        <v>7</v>
      </c>
      <c r="E183" s="1">
        <v>7</v>
      </c>
      <c r="F183" s="7">
        <v>5</v>
      </c>
      <c r="G183" s="7">
        <v>5</v>
      </c>
      <c r="H183" s="7">
        <v>5</v>
      </c>
      <c r="I183" s="7">
        <v>5</v>
      </c>
      <c r="J183" s="8">
        <v>5</v>
      </c>
    </row>
    <row r="184" spans="1:10" hidden="1" x14ac:dyDescent="0.25">
      <c r="A184" s="6">
        <v>503326</v>
      </c>
      <c r="B184" s="7">
        <v>1</v>
      </c>
      <c r="C184" s="7">
        <v>736.95718290805496</v>
      </c>
      <c r="D184" s="7">
        <v>1</v>
      </c>
      <c r="E184" s="1">
        <v>4</v>
      </c>
      <c r="F184" s="7">
        <v>5</v>
      </c>
      <c r="G184" s="7">
        <v>5</v>
      </c>
      <c r="H184" s="7">
        <v>5</v>
      </c>
      <c r="I184" s="7">
        <v>5</v>
      </c>
      <c r="J184" s="8">
        <v>5</v>
      </c>
    </row>
    <row r="185" spans="1:10" hidden="1" x14ac:dyDescent="0.25">
      <c r="A185" s="6">
        <v>503327</v>
      </c>
      <c r="B185" s="7">
        <v>1</v>
      </c>
      <c r="C185" s="7">
        <v>398.99441174229901</v>
      </c>
      <c r="D185" s="7">
        <v>1</v>
      </c>
      <c r="E185" s="1">
        <v>4</v>
      </c>
      <c r="F185" s="7">
        <v>5</v>
      </c>
      <c r="G185" s="7">
        <v>5</v>
      </c>
      <c r="H185" s="7">
        <v>5</v>
      </c>
      <c r="I185" s="7">
        <v>5</v>
      </c>
      <c r="J185" s="8">
        <v>5</v>
      </c>
    </row>
    <row r="186" spans="1:10" hidden="1" x14ac:dyDescent="0.25">
      <c r="A186" s="6">
        <v>503331</v>
      </c>
      <c r="B186" s="7">
        <v>1</v>
      </c>
      <c r="C186" s="7">
        <v>919.63137982526405</v>
      </c>
      <c r="D186" s="7">
        <v>5</v>
      </c>
      <c r="E186" s="1">
        <v>7</v>
      </c>
      <c r="F186" s="7">
        <v>5</v>
      </c>
      <c r="G186" s="7">
        <v>5</v>
      </c>
      <c r="H186" s="7">
        <v>5</v>
      </c>
      <c r="I186" s="7">
        <v>5</v>
      </c>
      <c r="J186" s="8">
        <v>5</v>
      </c>
    </row>
    <row r="187" spans="1:10" hidden="1" x14ac:dyDescent="0.25">
      <c r="A187" s="6">
        <v>503342</v>
      </c>
      <c r="B187" s="7">
        <v>2</v>
      </c>
      <c r="C187" s="7">
        <v>581.40143283541204</v>
      </c>
      <c r="D187" s="7">
        <v>5</v>
      </c>
      <c r="E187" s="1">
        <v>5</v>
      </c>
      <c r="F187" s="7">
        <v>5</v>
      </c>
      <c r="G187" s="7">
        <v>5</v>
      </c>
      <c r="H187" s="7">
        <v>5</v>
      </c>
      <c r="I187" s="7">
        <v>5</v>
      </c>
      <c r="J187" s="8">
        <v>5</v>
      </c>
    </row>
    <row r="188" spans="1:10" hidden="1" x14ac:dyDescent="0.25">
      <c r="A188" s="6">
        <v>503348</v>
      </c>
      <c r="B188" s="7">
        <v>1</v>
      </c>
      <c r="C188" s="7">
        <v>719.45587909624805</v>
      </c>
      <c r="D188" s="7">
        <v>3</v>
      </c>
      <c r="E188" s="1">
        <v>3</v>
      </c>
      <c r="F188" s="7">
        <v>5</v>
      </c>
      <c r="G188" s="7">
        <v>5</v>
      </c>
      <c r="H188" s="7">
        <v>5</v>
      </c>
      <c r="I188" s="7">
        <v>5</v>
      </c>
      <c r="J188" s="8">
        <v>5</v>
      </c>
    </row>
    <row r="189" spans="1:10" x14ac:dyDescent="0.25">
      <c r="A189" s="6">
        <v>503364</v>
      </c>
      <c r="B189" s="7">
        <v>2</v>
      </c>
      <c r="C189" s="7">
        <v>811.98290277599995</v>
      </c>
      <c r="D189" s="7">
        <v>6</v>
      </c>
      <c r="E189" s="1">
        <v>5</v>
      </c>
      <c r="F189" s="7">
        <v>5</v>
      </c>
      <c r="G189" s="7">
        <v>5</v>
      </c>
      <c r="H189" s="7">
        <v>5</v>
      </c>
      <c r="I189" s="7">
        <v>5</v>
      </c>
      <c r="J189" s="8">
        <v>5</v>
      </c>
    </row>
    <row r="190" spans="1:10" hidden="1" x14ac:dyDescent="0.25">
      <c r="A190" s="6">
        <v>503376</v>
      </c>
      <c r="B190" s="7">
        <v>1</v>
      </c>
      <c r="C190" s="7">
        <v>474.39862316494401</v>
      </c>
      <c r="D190" s="7">
        <v>4</v>
      </c>
      <c r="E190" s="1">
        <v>4</v>
      </c>
      <c r="F190" s="7">
        <v>5</v>
      </c>
      <c r="G190" s="7">
        <v>5</v>
      </c>
      <c r="H190" s="7">
        <v>5</v>
      </c>
      <c r="I190" s="7">
        <v>5</v>
      </c>
      <c r="J190" s="8">
        <v>5</v>
      </c>
    </row>
    <row r="191" spans="1:10" hidden="1" x14ac:dyDescent="0.25">
      <c r="A191" s="6">
        <v>503389</v>
      </c>
      <c r="B191" s="7">
        <v>1</v>
      </c>
      <c r="C191" s="7">
        <v>161.80039513043499</v>
      </c>
      <c r="D191" s="7">
        <v>2</v>
      </c>
      <c r="E191" s="1">
        <v>4</v>
      </c>
      <c r="F191" s="7">
        <v>5</v>
      </c>
      <c r="G191" s="7">
        <v>5</v>
      </c>
      <c r="H191" s="7">
        <v>5</v>
      </c>
      <c r="I191" s="7">
        <v>5</v>
      </c>
      <c r="J191" s="8">
        <v>5</v>
      </c>
    </row>
    <row r="192" spans="1:10" hidden="1" x14ac:dyDescent="0.25">
      <c r="A192" s="6">
        <v>503431</v>
      </c>
      <c r="B192" s="7">
        <v>2</v>
      </c>
      <c r="C192" s="7">
        <v>27.0872618069242</v>
      </c>
      <c r="D192" s="7">
        <v>2</v>
      </c>
      <c r="E192" s="1">
        <v>5</v>
      </c>
      <c r="F192" s="7">
        <v>5</v>
      </c>
      <c r="G192" s="7">
        <v>5</v>
      </c>
      <c r="H192" s="7">
        <v>5</v>
      </c>
      <c r="I192" s="7">
        <v>5</v>
      </c>
      <c r="J192" s="8">
        <v>5</v>
      </c>
    </row>
    <row r="193" spans="1:10" hidden="1" x14ac:dyDescent="0.25">
      <c r="A193" s="6">
        <v>503432</v>
      </c>
      <c r="B193" s="7">
        <v>1</v>
      </c>
      <c r="C193" s="7">
        <v>1144.5870338629099</v>
      </c>
      <c r="D193" s="7">
        <v>5</v>
      </c>
      <c r="E193" s="1">
        <v>5</v>
      </c>
      <c r="F193" s="7">
        <v>5</v>
      </c>
      <c r="G193" s="7">
        <v>5</v>
      </c>
      <c r="H193" s="7">
        <v>5</v>
      </c>
      <c r="I193" s="7">
        <v>5</v>
      </c>
      <c r="J193" s="8">
        <v>5</v>
      </c>
    </row>
    <row r="194" spans="1:10" hidden="1" x14ac:dyDescent="0.25">
      <c r="A194" s="6">
        <v>503460</v>
      </c>
      <c r="B194" s="7">
        <v>2</v>
      </c>
      <c r="C194" s="7">
        <v>191.09541741229501</v>
      </c>
      <c r="D194" s="7">
        <v>2</v>
      </c>
      <c r="E194" s="1">
        <v>6</v>
      </c>
      <c r="F194" s="7">
        <v>5</v>
      </c>
      <c r="G194" s="7">
        <v>5</v>
      </c>
      <c r="H194" s="7">
        <v>5</v>
      </c>
      <c r="I194" s="7">
        <v>5</v>
      </c>
      <c r="J194" s="8">
        <v>5</v>
      </c>
    </row>
    <row r="195" spans="1:10" x14ac:dyDescent="0.25">
      <c r="A195" s="6">
        <v>503469</v>
      </c>
      <c r="B195" s="7">
        <v>2</v>
      </c>
      <c r="C195" s="7">
        <v>323.34748813150702</v>
      </c>
      <c r="D195" s="7">
        <v>6</v>
      </c>
      <c r="E195" s="1">
        <v>5</v>
      </c>
      <c r="F195" s="7">
        <v>5</v>
      </c>
      <c r="G195" s="7">
        <v>1</v>
      </c>
      <c r="H195" s="7">
        <v>1</v>
      </c>
      <c r="I195" s="7">
        <v>5</v>
      </c>
      <c r="J195" s="8">
        <v>5</v>
      </c>
    </row>
    <row r="196" spans="1:10" hidden="1" x14ac:dyDescent="0.25">
      <c r="A196" s="6">
        <v>503485</v>
      </c>
      <c r="B196" s="7">
        <v>1</v>
      </c>
      <c r="C196" s="7">
        <v>587.88340213047104</v>
      </c>
      <c r="D196" s="7">
        <v>3</v>
      </c>
      <c r="E196" s="1">
        <v>3</v>
      </c>
      <c r="F196" s="7">
        <v>5</v>
      </c>
      <c r="G196" s="7">
        <v>5</v>
      </c>
      <c r="H196" s="7">
        <v>5</v>
      </c>
      <c r="I196" s="7">
        <v>5</v>
      </c>
      <c r="J196" s="8">
        <v>5</v>
      </c>
    </row>
    <row r="197" spans="1:10" x14ac:dyDescent="0.25">
      <c r="A197" s="6">
        <v>503488</v>
      </c>
      <c r="B197" s="7">
        <v>2</v>
      </c>
      <c r="C197" s="7">
        <v>1066.3101378295401</v>
      </c>
      <c r="D197" s="7">
        <v>8</v>
      </c>
      <c r="E197" s="1">
        <v>8</v>
      </c>
      <c r="F197" s="7">
        <v>5</v>
      </c>
      <c r="G197" s="7">
        <v>5</v>
      </c>
      <c r="H197" s="7">
        <v>5</v>
      </c>
      <c r="I197" s="7">
        <v>5</v>
      </c>
      <c r="J197" s="8">
        <v>5</v>
      </c>
    </row>
    <row r="198" spans="1:10" hidden="1" x14ac:dyDescent="0.25">
      <c r="A198" s="6">
        <v>503489</v>
      </c>
      <c r="B198" s="7">
        <v>2</v>
      </c>
      <c r="C198" s="7">
        <v>397.35322245373601</v>
      </c>
      <c r="D198" s="7">
        <v>4</v>
      </c>
      <c r="E198" s="1">
        <v>7</v>
      </c>
      <c r="F198" s="7">
        <v>5</v>
      </c>
      <c r="G198" s="7">
        <v>5</v>
      </c>
      <c r="H198" s="7">
        <v>5</v>
      </c>
      <c r="I198" s="7">
        <v>5</v>
      </c>
      <c r="J198" s="8">
        <v>5</v>
      </c>
    </row>
    <row r="199" spans="1:10" hidden="1" x14ac:dyDescent="0.25">
      <c r="A199" s="6">
        <v>503496</v>
      </c>
      <c r="B199" s="7">
        <v>2</v>
      </c>
      <c r="C199" s="7">
        <v>514.02763353644195</v>
      </c>
      <c r="D199" s="7">
        <v>5</v>
      </c>
      <c r="E199" s="1">
        <v>5</v>
      </c>
      <c r="F199" s="7">
        <v>5</v>
      </c>
      <c r="G199" s="7">
        <v>5</v>
      </c>
      <c r="H199" s="7">
        <v>5</v>
      </c>
      <c r="I199" s="7">
        <v>5</v>
      </c>
      <c r="J199" s="8">
        <v>5</v>
      </c>
    </row>
    <row r="200" spans="1:10" hidden="1" x14ac:dyDescent="0.25">
      <c r="A200" s="6">
        <v>503502</v>
      </c>
      <c r="B200" s="7">
        <v>1</v>
      </c>
      <c r="C200" s="7">
        <v>799.33410980366102</v>
      </c>
      <c r="D200" s="7">
        <v>5</v>
      </c>
      <c r="E200" s="1">
        <v>5</v>
      </c>
      <c r="F200" s="7">
        <v>5</v>
      </c>
      <c r="G200" s="7">
        <v>5</v>
      </c>
      <c r="H200" s="7">
        <v>5</v>
      </c>
      <c r="I200" s="7">
        <v>5</v>
      </c>
      <c r="J200" s="8">
        <v>5</v>
      </c>
    </row>
    <row r="201" spans="1:10" hidden="1" x14ac:dyDescent="0.25">
      <c r="A201" s="6">
        <v>503515</v>
      </c>
      <c r="B201" s="7">
        <v>1</v>
      </c>
      <c r="C201" s="7">
        <v>773.86301556164005</v>
      </c>
      <c r="D201" s="7">
        <v>5</v>
      </c>
      <c r="E201" s="1">
        <v>5</v>
      </c>
      <c r="F201" s="7">
        <v>5</v>
      </c>
      <c r="G201" s="7">
        <v>5</v>
      </c>
      <c r="H201" s="7">
        <v>5</v>
      </c>
      <c r="I201" s="7">
        <v>5</v>
      </c>
      <c r="J201" s="8">
        <v>5</v>
      </c>
    </row>
    <row r="202" spans="1:10" hidden="1" x14ac:dyDescent="0.25">
      <c r="A202" s="6">
        <v>503520</v>
      </c>
      <c r="B202" s="7">
        <v>2</v>
      </c>
      <c r="C202" s="7">
        <v>219.130730799182</v>
      </c>
      <c r="D202" s="7">
        <v>5</v>
      </c>
      <c r="E202" s="1">
        <v>5</v>
      </c>
      <c r="F202" s="7">
        <v>5</v>
      </c>
      <c r="G202" s="7">
        <v>5</v>
      </c>
      <c r="H202" s="7">
        <v>5</v>
      </c>
      <c r="I202" s="7">
        <v>5</v>
      </c>
      <c r="J202" s="8">
        <v>5</v>
      </c>
    </row>
    <row r="203" spans="1:10" hidden="1" x14ac:dyDescent="0.25">
      <c r="A203" s="6">
        <v>503521</v>
      </c>
      <c r="B203" s="7">
        <v>2</v>
      </c>
      <c r="C203" s="7">
        <v>89.627820005591801</v>
      </c>
      <c r="D203" s="7">
        <v>7</v>
      </c>
      <c r="E203" s="1">
        <v>7</v>
      </c>
      <c r="F203" s="7">
        <v>5</v>
      </c>
      <c r="G203" s="7">
        <v>5</v>
      </c>
      <c r="H203" s="7">
        <v>5</v>
      </c>
      <c r="I203" s="7">
        <v>5</v>
      </c>
      <c r="J203" s="8">
        <v>5</v>
      </c>
    </row>
    <row r="204" spans="1:10" hidden="1" x14ac:dyDescent="0.25">
      <c r="A204" s="6">
        <v>503541</v>
      </c>
      <c r="B204" s="7">
        <v>1</v>
      </c>
      <c r="C204" s="7">
        <v>1124.5833357551601</v>
      </c>
      <c r="D204" s="7">
        <v>2</v>
      </c>
      <c r="E204" s="1">
        <v>5</v>
      </c>
      <c r="F204" s="7">
        <v>5</v>
      </c>
      <c r="G204" s="7">
        <v>5</v>
      </c>
      <c r="H204" s="7">
        <v>5</v>
      </c>
      <c r="I204" s="7">
        <v>5</v>
      </c>
      <c r="J204" s="8">
        <v>5</v>
      </c>
    </row>
    <row r="205" spans="1:10" x14ac:dyDescent="0.25">
      <c r="A205" s="6">
        <v>503549</v>
      </c>
      <c r="B205" s="7">
        <v>2</v>
      </c>
      <c r="C205" s="7">
        <v>134.819581764746</v>
      </c>
      <c r="D205" s="7">
        <v>8</v>
      </c>
      <c r="E205" s="1">
        <v>10</v>
      </c>
      <c r="F205" s="7">
        <v>5</v>
      </c>
      <c r="G205" s="7">
        <v>5</v>
      </c>
      <c r="H205" s="7">
        <v>5</v>
      </c>
      <c r="I205" s="7">
        <v>5</v>
      </c>
      <c r="J205" s="8">
        <v>5</v>
      </c>
    </row>
    <row r="206" spans="1:10" hidden="1" x14ac:dyDescent="0.25">
      <c r="A206" s="6">
        <v>503552</v>
      </c>
      <c r="B206" s="7">
        <v>1</v>
      </c>
      <c r="C206" s="7">
        <v>136.572092660089</v>
      </c>
      <c r="D206" s="7">
        <v>2</v>
      </c>
      <c r="E206" s="1">
        <v>5</v>
      </c>
      <c r="F206" s="7">
        <v>5</v>
      </c>
      <c r="G206" s="7">
        <v>5</v>
      </c>
      <c r="H206" s="7">
        <v>5</v>
      </c>
      <c r="I206" s="7">
        <v>5</v>
      </c>
      <c r="J206" s="8">
        <v>5</v>
      </c>
    </row>
    <row r="207" spans="1:10" hidden="1" x14ac:dyDescent="0.25">
      <c r="A207" s="6">
        <v>503559</v>
      </c>
      <c r="B207" s="7">
        <v>1</v>
      </c>
      <c r="C207" s="7">
        <v>550.33783904936797</v>
      </c>
      <c r="D207" s="7">
        <v>1</v>
      </c>
      <c r="E207" s="1">
        <v>4</v>
      </c>
      <c r="F207" s="7">
        <v>5</v>
      </c>
      <c r="G207" s="7">
        <v>5</v>
      </c>
      <c r="H207" s="7">
        <v>5</v>
      </c>
      <c r="I207" s="7">
        <v>5</v>
      </c>
      <c r="J207" s="8">
        <v>5</v>
      </c>
    </row>
    <row r="208" spans="1:10" hidden="1" x14ac:dyDescent="0.25">
      <c r="A208" s="6">
        <v>503578</v>
      </c>
      <c r="B208" s="7">
        <v>2</v>
      </c>
      <c r="C208" s="7">
        <v>505.04232070682502</v>
      </c>
      <c r="D208" s="7">
        <v>7</v>
      </c>
      <c r="E208" s="1">
        <v>7</v>
      </c>
      <c r="F208" s="7">
        <v>5</v>
      </c>
      <c r="G208" s="7">
        <v>5</v>
      </c>
      <c r="H208" s="7">
        <v>5</v>
      </c>
      <c r="I208" s="7">
        <v>5</v>
      </c>
      <c r="J208" s="8">
        <v>5</v>
      </c>
    </row>
    <row r="209" spans="1:10" hidden="1" x14ac:dyDescent="0.25">
      <c r="A209" s="6">
        <v>503599</v>
      </c>
      <c r="B209" s="7">
        <v>1</v>
      </c>
      <c r="C209" s="7">
        <v>967.10517441863794</v>
      </c>
      <c r="D209" s="7">
        <v>7</v>
      </c>
      <c r="E209" s="1">
        <v>7</v>
      </c>
      <c r="F209" s="7">
        <v>5</v>
      </c>
      <c r="G209" s="7">
        <v>5</v>
      </c>
      <c r="H209" s="7">
        <v>5</v>
      </c>
      <c r="I209" s="7">
        <v>5</v>
      </c>
      <c r="J209" s="8">
        <v>5</v>
      </c>
    </row>
    <row r="210" spans="1:10" hidden="1" x14ac:dyDescent="0.25">
      <c r="A210" s="6">
        <v>503618</v>
      </c>
      <c r="B210" s="7">
        <v>1</v>
      </c>
      <c r="C210" s="7">
        <v>596.80681681237195</v>
      </c>
      <c r="D210" s="7">
        <v>4</v>
      </c>
      <c r="E210" s="1">
        <v>4</v>
      </c>
      <c r="F210" s="7">
        <v>5</v>
      </c>
      <c r="G210" s="7">
        <v>5</v>
      </c>
      <c r="H210" s="7">
        <v>5</v>
      </c>
      <c r="I210" s="7">
        <v>5</v>
      </c>
      <c r="J210" s="8">
        <v>5</v>
      </c>
    </row>
    <row r="211" spans="1:10" x14ac:dyDescent="0.25">
      <c r="A211" s="6">
        <v>503649</v>
      </c>
      <c r="B211" s="7">
        <v>2</v>
      </c>
      <c r="C211" s="7">
        <v>1033.1195023736</v>
      </c>
      <c r="D211" s="7">
        <v>9</v>
      </c>
      <c r="E211" s="1">
        <v>9</v>
      </c>
      <c r="F211" s="7">
        <v>5</v>
      </c>
      <c r="G211" s="7">
        <v>5</v>
      </c>
      <c r="H211" s="7">
        <v>5</v>
      </c>
      <c r="I211" s="7">
        <v>5</v>
      </c>
      <c r="J211" s="8">
        <v>5</v>
      </c>
    </row>
    <row r="212" spans="1:10" x14ac:dyDescent="0.25">
      <c r="A212" s="6">
        <v>503651</v>
      </c>
      <c r="B212" s="7">
        <v>2</v>
      </c>
      <c r="C212" s="7">
        <v>841.93939982414997</v>
      </c>
      <c r="D212" s="7">
        <v>8</v>
      </c>
      <c r="E212" s="1">
        <v>8</v>
      </c>
      <c r="F212" s="7">
        <v>5</v>
      </c>
      <c r="G212" s="7">
        <v>5</v>
      </c>
      <c r="H212" s="7">
        <v>5</v>
      </c>
      <c r="I212" s="7">
        <v>5</v>
      </c>
      <c r="J212" s="8">
        <v>5</v>
      </c>
    </row>
    <row r="213" spans="1:10" x14ac:dyDescent="0.25">
      <c r="A213" s="6">
        <v>503658</v>
      </c>
      <c r="B213" s="7">
        <v>2</v>
      </c>
      <c r="C213" s="7">
        <v>171.534266703985</v>
      </c>
      <c r="D213" s="7">
        <v>6</v>
      </c>
      <c r="E213" s="1">
        <v>4</v>
      </c>
      <c r="F213" s="7">
        <v>5</v>
      </c>
      <c r="G213" s="7">
        <v>1</v>
      </c>
      <c r="H213" s="7">
        <v>1</v>
      </c>
      <c r="I213" s="7">
        <v>5</v>
      </c>
      <c r="J213" s="8">
        <v>5</v>
      </c>
    </row>
    <row r="214" spans="1:10" hidden="1" x14ac:dyDescent="0.25">
      <c r="A214" s="6">
        <v>503663</v>
      </c>
      <c r="B214" s="7">
        <v>2</v>
      </c>
      <c r="C214" s="7">
        <v>204.790791694576</v>
      </c>
      <c r="D214" s="7">
        <v>7</v>
      </c>
      <c r="E214" s="1">
        <v>7</v>
      </c>
      <c r="F214" s="7">
        <v>5</v>
      </c>
      <c r="G214" s="7">
        <v>5</v>
      </c>
      <c r="H214" s="7">
        <v>5</v>
      </c>
      <c r="I214" s="7">
        <v>5</v>
      </c>
      <c r="J214" s="8">
        <v>5</v>
      </c>
    </row>
    <row r="215" spans="1:10" hidden="1" x14ac:dyDescent="0.25">
      <c r="A215" s="6">
        <v>503669</v>
      </c>
      <c r="B215" s="7">
        <v>2</v>
      </c>
      <c r="C215" s="7">
        <v>400.01528064376402</v>
      </c>
      <c r="D215" s="7">
        <v>7</v>
      </c>
      <c r="E215" s="1">
        <v>7</v>
      </c>
      <c r="F215" s="7">
        <v>5</v>
      </c>
      <c r="G215" s="7">
        <v>5</v>
      </c>
      <c r="H215" s="7">
        <v>5</v>
      </c>
      <c r="I215" s="7">
        <v>5</v>
      </c>
      <c r="J215" s="8">
        <v>5</v>
      </c>
    </row>
    <row r="216" spans="1:10" hidden="1" x14ac:dyDescent="0.25">
      <c r="A216" s="6">
        <v>503670</v>
      </c>
      <c r="B216" s="7">
        <v>1</v>
      </c>
      <c r="C216" s="7">
        <v>668.40600567850004</v>
      </c>
      <c r="D216" s="7">
        <v>4</v>
      </c>
      <c r="E216" s="1">
        <v>4</v>
      </c>
      <c r="F216" s="7">
        <v>5</v>
      </c>
      <c r="G216" s="7">
        <v>5</v>
      </c>
      <c r="H216" s="7">
        <v>5</v>
      </c>
      <c r="I216" s="7">
        <v>5</v>
      </c>
      <c r="J216" s="8">
        <v>5</v>
      </c>
    </row>
    <row r="217" spans="1:10" x14ac:dyDescent="0.25">
      <c r="A217" s="6">
        <v>503675</v>
      </c>
      <c r="B217" s="7">
        <v>2</v>
      </c>
      <c r="C217" s="7">
        <v>242.76972012627201</v>
      </c>
      <c r="D217" s="7">
        <v>6</v>
      </c>
      <c r="E217" s="1">
        <v>7</v>
      </c>
      <c r="F217" s="7">
        <v>5</v>
      </c>
      <c r="G217" s="7">
        <v>5</v>
      </c>
      <c r="H217" s="7">
        <v>5</v>
      </c>
      <c r="I217" s="7">
        <v>5</v>
      </c>
      <c r="J217" s="8">
        <v>5</v>
      </c>
    </row>
    <row r="218" spans="1:10" hidden="1" x14ac:dyDescent="0.25">
      <c r="A218" s="6">
        <v>503681</v>
      </c>
      <c r="B218" s="7">
        <v>2</v>
      </c>
      <c r="C218" s="7">
        <v>396.78907573032802</v>
      </c>
      <c r="D218" s="7">
        <v>5</v>
      </c>
      <c r="E218" s="1">
        <v>5</v>
      </c>
      <c r="F218" s="7">
        <v>5</v>
      </c>
      <c r="G218" s="7">
        <v>5</v>
      </c>
      <c r="H218" s="7">
        <v>5</v>
      </c>
      <c r="I218" s="7">
        <v>5</v>
      </c>
      <c r="J218" s="8">
        <v>5</v>
      </c>
    </row>
    <row r="219" spans="1:10" hidden="1" x14ac:dyDescent="0.25">
      <c r="A219" s="6">
        <v>503717</v>
      </c>
      <c r="B219" s="7">
        <v>2</v>
      </c>
      <c r="C219" s="7">
        <v>172.770429367074</v>
      </c>
      <c r="D219" s="7">
        <v>5</v>
      </c>
      <c r="E219" s="1">
        <v>5</v>
      </c>
      <c r="F219" s="7">
        <v>5</v>
      </c>
      <c r="G219" s="7">
        <v>5</v>
      </c>
      <c r="H219" s="7">
        <v>5</v>
      </c>
      <c r="I219" s="7">
        <v>5</v>
      </c>
      <c r="J219" s="8">
        <v>5</v>
      </c>
    </row>
    <row r="220" spans="1:10" hidden="1" x14ac:dyDescent="0.25">
      <c r="A220" s="6">
        <v>503764</v>
      </c>
      <c r="B220" s="7">
        <v>2</v>
      </c>
      <c r="C220" s="7">
        <v>1600.17252299712</v>
      </c>
      <c r="D220" s="7">
        <v>5</v>
      </c>
      <c r="E220" s="1">
        <v>5</v>
      </c>
      <c r="F220" s="7">
        <v>5</v>
      </c>
      <c r="G220" s="7">
        <v>5</v>
      </c>
      <c r="H220" s="7">
        <v>5</v>
      </c>
      <c r="I220" s="7">
        <v>5</v>
      </c>
      <c r="J220" s="8">
        <v>5</v>
      </c>
    </row>
    <row r="221" spans="1:10" hidden="1" x14ac:dyDescent="0.25">
      <c r="A221" s="6">
        <v>503765</v>
      </c>
      <c r="B221" s="7">
        <v>1</v>
      </c>
      <c r="C221" s="7">
        <v>738.29596410051295</v>
      </c>
      <c r="D221" s="7">
        <v>7</v>
      </c>
      <c r="E221" s="1">
        <v>7</v>
      </c>
      <c r="F221" s="7">
        <v>5</v>
      </c>
      <c r="G221" s="7">
        <v>5</v>
      </c>
      <c r="H221" s="7">
        <v>5</v>
      </c>
      <c r="I221" s="7">
        <v>5</v>
      </c>
      <c r="J221" s="8">
        <v>5</v>
      </c>
    </row>
    <row r="222" spans="1:10" hidden="1" x14ac:dyDescent="0.25">
      <c r="A222" s="6">
        <v>503815</v>
      </c>
      <c r="B222" s="7">
        <v>2</v>
      </c>
      <c r="C222" s="7">
        <v>94.080873393403394</v>
      </c>
      <c r="D222" s="7">
        <v>5</v>
      </c>
      <c r="E222" s="1">
        <v>5</v>
      </c>
      <c r="F222" s="7">
        <v>5</v>
      </c>
      <c r="G222" s="7">
        <v>5</v>
      </c>
      <c r="H222" s="7">
        <v>5</v>
      </c>
      <c r="I222" s="7">
        <v>5</v>
      </c>
      <c r="J222" s="8">
        <v>5</v>
      </c>
    </row>
    <row r="223" spans="1:10" hidden="1" x14ac:dyDescent="0.25">
      <c r="A223" s="6">
        <v>503819</v>
      </c>
      <c r="B223" s="7">
        <v>1</v>
      </c>
      <c r="C223" s="7">
        <v>512.98302360726302</v>
      </c>
      <c r="D223" s="7">
        <v>4</v>
      </c>
      <c r="E223" s="1">
        <v>4</v>
      </c>
      <c r="F223" s="7">
        <v>5</v>
      </c>
      <c r="G223" s="7">
        <v>5</v>
      </c>
      <c r="H223" s="7">
        <v>5</v>
      </c>
      <c r="I223" s="7">
        <v>5</v>
      </c>
      <c r="J223" s="8">
        <v>5</v>
      </c>
    </row>
    <row r="224" spans="1:10" hidden="1" x14ac:dyDescent="0.25">
      <c r="A224" s="6">
        <v>503841</v>
      </c>
      <c r="B224" s="7">
        <v>1</v>
      </c>
      <c r="C224" s="7">
        <v>666.36415931286797</v>
      </c>
      <c r="D224" s="7">
        <v>2</v>
      </c>
      <c r="E224" s="1">
        <v>5</v>
      </c>
      <c r="F224" s="7">
        <v>5</v>
      </c>
      <c r="G224" s="7">
        <v>5</v>
      </c>
      <c r="H224" s="7">
        <v>5</v>
      </c>
      <c r="I224" s="7">
        <v>5</v>
      </c>
      <c r="J224" s="8">
        <v>5</v>
      </c>
    </row>
    <row r="225" spans="1:10" x14ac:dyDescent="0.25">
      <c r="A225" s="6">
        <v>503850</v>
      </c>
      <c r="B225" s="7">
        <v>2</v>
      </c>
      <c r="C225" s="7">
        <v>690.02287591835795</v>
      </c>
      <c r="D225" s="7">
        <v>9</v>
      </c>
      <c r="E225" s="1">
        <v>9</v>
      </c>
      <c r="F225" s="7">
        <v>5</v>
      </c>
      <c r="G225" s="7">
        <v>5</v>
      </c>
      <c r="H225" s="7">
        <v>5</v>
      </c>
      <c r="I225" s="7">
        <v>5</v>
      </c>
      <c r="J225" s="8">
        <v>5</v>
      </c>
    </row>
    <row r="226" spans="1:10" hidden="1" x14ac:dyDescent="0.25">
      <c r="A226" s="6">
        <v>503872</v>
      </c>
      <c r="B226" s="7">
        <v>1</v>
      </c>
      <c r="C226" s="7">
        <v>220.01596009891699</v>
      </c>
      <c r="D226" s="7">
        <v>5</v>
      </c>
      <c r="E226" s="1">
        <v>5</v>
      </c>
      <c r="F226" s="7">
        <v>5</v>
      </c>
      <c r="G226" s="7">
        <v>5</v>
      </c>
      <c r="H226" s="7">
        <v>5</v>
      </c>
      <c r="I226" s="7">
        <v>5</v>
      </c>
      <c r="J226" s="8">
        <v>5</v>
      </c>
    </row>
    <row r="227" spans="1:10" hidden="1" x14ac:dyDescent="0.25">
      <c r="A227" s="6">
        <v>503881</v>
      </c>
      <c r="B227" s="7">
        <v>2</v>
      </c>
      <c r="C227" s="7">
        <v>37.334045206865603</v>
      </c>
      <c r="D227" s="7">
        <v>7</v>
      </c>
      <c r="E227" s="1">
        <v>7</v>
      </c>
      <c r="F227" s="7">
        <v>5</v>
      </c>
      <c r="G227" s="7">
        <v>5</v>
      </c>
      <c r="H227" s="7">
        <v>5</v>
      </c>
      <c r="I227" s="7">
        <v>5</v>
      </c>
      <c r="J227" s="8">
        <v>5</v>
      </c>
    </row>
    <row r="228" spans="1:10" hidden="1" x14ac:dyDescent="0.25">
      <c r="A228" s="6">
        <v>503927</v>
      </c>
      <c r="B228" s="7">
        <v>1</v>
      </c>
      <c r="C228" s="7">
        <v>635.076636307841</v>
      </c>
      <c r="D228" s="7">
        <v>3</v>
      </c>
      <c r="E228" s="1">
        <v>3</v>
      </c>
      <c r="F228" s="7">
        <v>5</v>
      </c>
      <c r="G228" s="7">
        <v>5</v>
      </c>
      <c r="H228" s="7">
        <v>5</v>
      </c>
      <c r="I228" s="7">
        <v>5</v>
      </c>
      <c r="J228" s="8">
        <v>5</v>
      </c>
    </row>
    <row r="229" spans="1:10" hidden="1" x14ac:dyDescent="0.25">
      <c r="A229" s="6">
        <v>503929</v>
      </c>
      <c r="B229" s="7">
        <v>1</v>
      </c>
      <c r="C229" s="7">
        <v>687.19197022590004</v>
      </c>
      <c r="D229" s="7">
        <v>7</v>
      </c>
      <c r="E229" s="1">
        <v>7</v>
      </c>
      <c r="F229" s="7">
        <v>5</v>
      </c>
      <c r="G229" s="7">
        <v>5</v>
      </c>
      <c r="H229" s="7">
        <v>5</v>
      </c>
      <c r="I229" s="7">
        <v>5</v>
      </c>
      <c r="J229" s="8">
        <v>5</v>
      </c>
    </row>
    <row r="230" spans="1:10" hidden="1" x14ac:dyDescent="0.25">
      <c r="A230" s="6">
        <v>503931</v>
      </c>
      <c r="B230" s="7">
        <v>2</v>
      </c>
      <c r="C230" s="7">
        <v>24.361407276398999</v>
      </c>
      <c r="D230" s="7">
        <v>5</v>
      </c>
      <c r="E230" s="1">
        <v>5</v>
      </c>
      <c r="F230" s="7">
        <v>5</v>
      </c>
      <c r="G230" s="7">
        <v>5</v>
      </c>
      <c r="H230" s="7">
        <v>5</v>
      </c>
      <c r="I230" s="7">
        <v>5</v>
      </c>
      <c r="J230" s="8">
        <v>5</v>
      </c>
    </row>
    <row r="231" spans="1:10" hidden="1" x14ac:dyDescent="0.25">
      <c r="A231" s="6">
        <v>503943</v>
      </c>
      <c r="B231" s="7">
        <v>1</v>
      </c>
      <c r="C231" s="7">
        <v>298.90384474442902</v>
      </c>
      <c r="D231" s="7">
        <v>5</v>
      </c>
      <c r="E231" s="1">
        <v>5</v>
      </c>
      <c r="F231" s="7">
        <v>5</v>
      </c>
      <c r="G231" s="7">
        <v>5</v>
      </c>
      <c r="H231" s="7">
        <v>5</v>
      </c>
      <c r="I231" s="7">
        <v>5</v>
      </c>
      <c r="J231" s="8">
        <v>5</v>
      </c>
    </row>
    <row r="232" spans="1:10" hidden="1" x14ac:dyDescent="0.25">
      <c r="A232" s="6">
        <v>503967</v>
      </c>
      <c r="B232" s="7">
        <v>1</v>
      </c>
      <c r="C232" s="7">
        <v>1263.04584813219</v>
      </c>
      <c r="D232" s="7">
        <v>2</v>
      </c>
      <c r="E232" s="1">
        <v>5</v>
      </c>
      <c r="F232" s="7">
        <v>5</v>
      </c>
      <c r="G232" s="7">
        <v>5</v>
      </c>
      <c r="H232" s="7">
        <v>5</v>
      </c>
      <c r="I232" s="7">
        <v>5</v>
      </c>
      <c r="J232" s="8">
        <v>5</v>
      </c>
    </row>
    <row r="233" spans="1:10" hidden="1" x14ac:dyDescent="0.25">
      <c r="A233" s="6">
        <v>503970</v>
      </c>
      <c r="B233" s="7">
        <v>1</v>
      </c>
      <c r="C233" s="7">
        <v>1671.16771917814</v>
      </c>
      <c r="D233" s="7">
        <v>2</v>
      </c>
      <c r="E233" s="1">
        <v>5</v>
      </c>
      <c r="F233" s="7">
        <v>5</v>
      </c>
      <c r="G233" s="7">
        <v>5</v>
      </c>
      <c r="H233" s="7">
        <v>5</v>
      </c>
      <c r="I233" s="7">
        <v>5</v>
      </c>
      <c r="J233" s="8">
        <v>5</v>
      </c>
    </row>
    <row r="234" spans="1:10" hidden="1" x14ac:dyDescent="0.25">
      <c r="A234" s="6">
        <v>503975</v>
      </c>
      <c r="B234" s="7">
        <v>2</v>
      </c>
      <c r="C234" s="7">
        <v>413.66794786414101</v>
      </c>
      <c r="D234" s="7">
        <v>7</v>
      </c>
      <c r="E234" s="1">
        <v>7</v>
      </c>
      <c r="F234" s="7">
        <v>5</v>
      </c>
      <c r="G234" s="7">
        <v>5</v>
      </c>
      <c r="H234" s="7">
        <v>5</v>
      </c>
      <c r="I234" s="7">
        <v>5</v>
      </c>
      <c r="J234" s="8">
        <v>5</v>
      </c>
    </row>
    <row r="235" spans="1:10" hidden="1" x14ac:dyDescent="0.25">
      <c r="A235" s="6">
        <v>503980</v>
      </c>
      <c r="B235" s="7">
        <v>2</v>
      </c>
      <c r="C235" s="7">
        <v>485.78472806136602</v>
      </c>
      <c r="D235" s="7">
        <v>7</v>
      </c>
      <c r="E235" s="1">
        <v>5</v>
      </c>
      <c r="F235" s="7">
        <v>5</v>
      </c>
      <c r="G235" s="7">
        <v>5</v>
      </c>
      <c r="H235" s="7">
        <v>5</v>
      </c>
      <c r="I235" s="7">
        <v>5</v>
      </c>
      <c r="J235" s="8">
        <v>5</v>
      </c>
    </row>
    <row r="236" spans="1:10" hidden="1" x14ac:dyDescent="0.25">
      <c r="A236" s="6">
        <v>503990</v>
      </c>
      <c r="B236" s="7">
        <v>1</v>
      </c>
      <c r="C236" s="7">
        <v>76.295353634011306</v>
      </c>
      <c r="D236" s="7">
        <v>4</v>
      </c>
      <c r="E236" s="1">
        <v>4</v>
      </c>
      <c r="F236" s="7">
        <v>1</v>
      </c>
      <c r="G236" s="7">
        <v>5</v>
      </c>
      <c r="H236" s="7">
        <v>5</v>
      </c>
      <c r="I236" s="7">
        <v>5</v>
      </c>
      <c r="J236" s="8">
        <v>5</v>
      </c>
    </row>
    <row r="237" spans="1:10" x14ac:dyDescent="0.25">
      <c r="A237" s="6">
        <v>504045</v>
      </c>
      <c r="B237" s="7">
        <v>2</v>
      </c>
      <c r="C237" s="7">
        <v>769.56406480545195</v>
      </c>
      <c r="D237" s="7">
        <v>8</v>
      </c>
      <c r="E237" s="1">
        <v>8</v>
      </c>
      <c r="F237" s="7">
        <v>5</v>
      </c>
      <c r="G237" s="7">
        <v>5</v>
      </c>
      <c r="H237" s="7">
        <v>5</v>
      </c>
      <c r="I237" s="7">
        <v>5</v>
      </c>
      <c r="J237" s="8">
        <v>5</v>
      </c>
    </row>
    <row r="238" spans="1:10" hidden="1" x14ac:dyDescent="0.25">
      <c r="A238" s="6">
        <v>504080</v>
      </c>
      <c r="B238" s="7">
        <v>2</v>
      </c>
      <c r="C238" s="7">
        <v>59.226001214526903</v>
      </c>
      <c r="D238" s="7">
        <v>7</v>
      </c>
      <c r="E238" s="1">
        <v>9</v>
      </c>
      <c r="F238" s="7">
        <v>5</v>
      </c>
      <c r="G238" s="7">
        <v>5</v>
      </c>
      <c r="H238" s="7">
        <v>5</v>
      </c>
      <c r="I238" s="7">
        <v>5</v>
      </c>
      <c r="J238" s="8">
        <v>5</v>
      </c>
    </row>
    <row r="239" spans="1:10" hidden="1" x14ac:dyDescent="0.25">
      <c r="A239" s="6">
        <v>504134</v>
      </c>
      <c r="B239" s="7">
        <v>1</v>
      </c>
      <c r="C239" s="7">
        <v>529.26855744473005</v>
      </c>
      <c r="D239" s="7">
        <v>4</v>
      </c>
      <c r="E239" s="1">
        <v>4</v>
      </c>
      <c r="F239" s="7">
        <v>5</v>
      </c>
      <c r="G239" s="7">
        <v>5</v>
      </c>
      <c r="H239" s="7">
        <v>5</v>
      </c>
      <c r="I239" s="7">
        <v>5</v>
      </c>
      <c r="J239" s="8">
        <v>5</v>
      </c>
    </row>
    <row r="240" spans="1:10" hidden="1" x14ac:dyDescent="0.25">
      <c r="A240" s="6">
        <v>504183</v>
      </c>
      <c r="B240" s="7">
        <v>1</v>
      </c>
      <c r="C240" s="7">
        <v>1365.06347171689</v>
      </c>
      <c r="D240" s="7">
        <v>2</v>
      </c>
      <c r="E240" s="1">
        <v>4</v>
      </c>
      <c r="F240" s="7">
        <v>5</v>
      </c>
      <c r="G240" s="7">
        <v>5</v>
      </c>
      <c r="H240" s="7">
        <v>5</v>
      </c>
      <c r="I240" s="7">
        <v>5</v>
      </c>
      <c r="J240" s="8">
        <v>5</v>
      </c>
    </row>
    <row r="241" spans="1:10" hidden="1" x14ac:dyDescent="0.25">
      <c r="A241" s="6">
        <v>504190</v>
      </c>
      <c r="B241" s="7">
        <v>2</v>
      </c>
      <c r="C241" s="7">
        <v>119.197128004365</v>
      </c>
      <c r="D241" s="7">
        <v>7</v>
      </c>
      <c r="E241" s="1">
        <v>7</v>
      </c>
      <c r="F241" s="7">
        <v>5</v>
      </c>
      <c r="G241" s="7">
        <v>5</v>
      </c>
      <c r="H241" s="7">
        <v>5</v>
      </c>
      <c r="I241" s="7">
        <v>5</v>
      </c>
      <c r="J241" s="8">
        <v>5</v>
      </c>
    </row>
    <row r="242" spans="1:10" hidden="1" x14ac:dyDescent="0.25">
      <c r="A242" s="6">
        <v>504228</v>
      </c>
      <c r="B242" s="7">
        <v>1</v>
      </c>
      <c r="C242" s="7">
        <v>622.52734084975202</v>
      </c>
      <c r="D242" s="7">
        <v>7</v>
      </c>
      <c r="E242" s="1">
        <v>7</v>
      </c>
      <c r="F242" s="7">
        <v>5</v>
      </c>
      <c r="G242" s="7">
        <v>5</v>
      </c>
      <c r="H242" s="7">
        <v>5</v>
      </c>
      <c r="I242" s="7">
        <v>5</v>
      </c>
      <c r="J242" s="8">
        <v>5</v>
      </c>
    </row>
    <row r="243" spans="1:10" hidden="1" x14ac:dyDescent="0.25">
      <c r="A243" s="6">
        <v>504244</v>
      </c>
      <c r="B243" s="7">
        <v>1</v>
      </c>
      <c r="C243" s="7">
        <v>582.09504116501205</v>
      </c>
      <c r="D243" s="7">
        <v>2</v>
      </c>
      <c r="E243" s="1">
        <v>4</v>
      </c>
      <c r="F243" s="7">
        <v>5</v>
      </c>
      <c r="G243" s="7">
        <v>5</v>
      </c>
      <c r="H243" s="7">
        <v>5</v>
      </c>
      <c r="I243" s="7">
        <v>5</v>
      </c>
      <c r="J243" s="8">
        <v>5</v>
      </c>
    </row>
    <row r="244" spans="1:10" hidden="1" x14ac:dyDescent="0.25">
      <c r="A244" s="6">
        <v>504273</v>
      </c>
      <c r="B244" s="7">
        <v>1</v>
      </c>
      <c r="C244" s="7">
        <v>616.59229309587204</v>
      </c>
      <c r="D244" s="7">
        <v>4</v>
      </c>
      <c r="E244" s="1">
        <v>4</v>
      </c>
      <c r="F244" s="7">
        <v>5</v>
      </c>
      <c r="G244" s="7">
        <v>5</v>
      </c>
      <c r="H244" s="7">
        <v>5</v>
      </c>
      <c r="I244" s="7">
        <v>5</v>
      </c>
      <c r="J244" s="8">
        <v>5</v>
      </c>
    </row>
    <row r="245" spans="1:10" hidden="1" x14ac:dyDescent="0.25">
      <c r="A245" s="6">
        <v>504307</v>
      </c>
      <c r="B245" s="7">
        <v>2</v>
      </c>
      <c r="C245" s="7">
        <v>113.104447637877</v>
      </c>
      <c r="D245" s="7">
        <v>2</v>
      </c>
      <c r="E245" s="1">
        <v>5</v>
      </c>
      <c r="F245" s="7">
        <v>5</v>
      </c>
      <c r="G245" s="7">
        <v>1</v>
      </c>
      <c r="H245" s="7">
        <v>1</v>
      </c>
      <c r="I245" s="7">
        <v>5</v>
      </c>
      <c r="J245" s="8">
        <v>5</v>
      </c>
    </row>
    <row r="246" spans="1:10" hidden="1" x14ac:dyDescent="0.25">
      <c r="A246" s="6">
        <v>504403</v>
      </c>
      <c r="B246" s="7">
        <v>2</v>
      </c>
      <c r="C246" s="7">
        <v>658.97723307593606</v>
      </c>
      <c r="D246" s="7">
        <v>7</v>
      </c>
      <c r="E246" s="1">
        <v>7</v>
      </c>
      <c r="F246" s="7">
        <v>5</v>
      </c>
      <c r="G246" s="7">
        <v>5</v>
      </c>
      <c r="H246" s="7">
        <v>5</v>
      </c>
      <c r="I246" s="7">
        <v>5</v>
      </c>
      <c r="J246" s="8">
        <v>5</v>
      </c>
    </row>
    <row r="247" spans="1:10" hidden="1" x14ac:dyDescent="0.25">
      <c r="A247" s="6">
        <v>504440</v>
      </c>
      <c r="B247" s="7">
        <v>1</v>
      </c>
      <c r="C247" s="7">
        <v>991.36533512081405</v>
      </c>
      <c r="D247" s="7">
        <v>4</v>
      </c>
      <c r="E247" s="1">
        <v>4</v>
      </c>
      <c r="F247" s="7">
        <v>5</v>
      </c>
      <c r="G247" s="7">
        <v>5</v>
      </c>
      <c r="H247" s="7">
        <v>5</v>
      </c>
      <c r="I247" s="7">
        <v>5</v>
      </c>
      <c r="J247" s="8">
        <v>5</v>
      </c>
    </row>
    <row r="248" spans="1:10" x14ac:dyDescent="0.25">
      <c r="A248" s="6">
        <v>504478</v>
      </c>
      <c r="B248" s="7">
        <v>2</v>
      </c>
      <c r="C248" s="7">
        <v>316.68530618520202</v>
      </c>
      <c r="D248" s="7">
        <v>8</v>
      </c>
      <c r="E248" s="1">
        <v>8</v>
      </c>
      <c r="F248" s="7">
        <v>5</v>
      </c>
      <c r="G248" s="7">
        <v>5</v>
      </c>
      <c r="H248" s="7">
        <v>5</v>
      </c>
      <c r="I248" s="7">
        <v>5</v>
      </c>
      <c r="J248" s="8">
        <v>5</v>
      </c>
    </row>
    <row r="249" spans="1:10" hidden="1" x14ac:dyDescent="0.25">
      <c r="A249" s="6">
        <v>504489</v>
      </c>
      <c r="B249" s="7">
        <v>1</v>
      </c>
      <c r="C249" s="7">
        <v>1697.6344072484101</v>
      </c>
      <c r="D249" s="7">
        <v>4</v>
      </c>
      <c r="E249" s="1">
        <v>4</v>
      </c>
      <c r="F249" s="7">
        <v>5</v>
      </c>
      <c r="G249" s="7">
        <v>5</v>
      </c>
      <c r="H249" s="7">
        <v>5</v>
      </c>
      <c r="I249" s="7">
        <v>5</v>
      </c>
      <c r="J249" s="8">
        <v>5</v>
      </c>
    </row>
    <row r="250" spans="1:10" hidden="1" x14ac:dyDescent="0.25">
      <c r="A250" s="6">
        <v>504494</v>
      </c>
      <c r="B250" s="7">
        <v>2</v>
      </c>
      <c r="C250" s="7">
        <v>1024.9336762753901</v>
      </c>
      <c r="D250" s="7">
        <v>7</v>
      </c>
      <c r="E250" s="1">
        <v>7</v>
      </c>
      <c r="F250" s="7">
        <v>5</v>
      </c>
      <c r="G250" s="7">
        <v>5</v>
      </c>
      <c r="H250" s="7">
        <v>5</v>
      </c>
      <c r="I250" s="7">
        <v>5</v>
      </c>
      <c r="J250" s="8">
        <v>5</v>
      </c>
    </row>
    <row r="251" spans="1:10" x14ac:dyDescent="0.25">
      <c r="A251" s="6">
        <v>504512</v>
      </c>
      <c r="B251" s="7">
        <v>2</v>
      </c>
      <c r="C251" s="7">
        <v>410.88348475732801</v>
      </c>
      <c r="D251" s="7">
        <v>8</v>
      </c>
      <c r="E251" s="1">
        <v>8</v>
      </c>
      <c r="F251" s="7">
        <v>5</v>
      </c>
      <c r="G251" s="7">
        <v>5</v>
      </c>
      <c r="H251" s="7">
        <v>5</v>
      </c>
      <c r="I251" s="7">
        <v>5</v>
      </c>
      <c r="J251" s="8">
        <v>5</v>
      </c>
    </row>
    <row r="252" spans="1:10" hidden="1" x14ac:dyDescent="0.25">
      <c r="A252" s="6">
        <v>504527</v>
      </c>
      <c r="B252" s="7">
        <v>1</v>
      </c>
      <c r="C252" s="7">
        <v>616.46187323372203</v>
      </c>
      <c r="D252" s="7">
        <v>5</v>
      </c>
      <c r="E252" s="1">
        <v>5</v>
      </c>
      <c r="F252" s="7">
        <v>5</v>
      </c>
      <c r="G252" s="7">
        <v>5</v>
      </c>
      <c r="H252" s="7">
        <v>5</v>
      </c>
      <c r="I252" s="7">
        <v>5</v>
      </c>
      <c r="J252" s="8">
        <v>5</v>
      </c>
    </row>
    <row r="253" spans="1:10" x14ac:dyDescent="0.25">
      <c r="A253" s="6">
        <v>504531</v>
      </c>
      <c r="B253" s="7">
        <v>2</v>
      </c>
      <c r="C253" s="7">
        <v>410.90162416052601</v>
      </c>
      <c r="D253" s="7">
        <v>8</v>
      </c>
      <c r="E253" s="1">
        <v>8</v>
      </c>
      <c r="F253" s="7">
        <v>5</v>
      </c>
      <c r="G253" s="7">
        <v>5</v>
      </c>
      <c r="H253" s="7">
        <v>5</v>
      </c>
      <c r="I253" s="7">
        <v>5</v>
      </c>
      <c r="J253" s="8">
        <v>5</v>
      </c>
    </row>
    <row r="254" spans="1:10" hidden="1" x14ac:dyDescent="0.25">
      <c r="A254" s="6">
        <v>504828</v>
      </c>
      <c r="B254" s="7">
        <v>2</v>
      </c>
      <c r="C254" s="7">
        <v>255.224813953942</v>
      </c>
      <c r="D254" s="7">
        <v>5</v>
      </c>
      <c r="E254" s="1">
        <v>5</v>
      </c>
      <c r="F254" s="7">
        <v>5</v>
      </c>
      <c r="G254" s="7">
        <v>5</v>
      </c>
      <c r="H254" s="7">
        <v>5</v>
      </c>
      <c r="I254" s="7">
        <v>5</v>
      </c>
      <c r="J254" s="8">
        <v>5</v>
      </c>
    </row>
    <row r="255" spans="1:10" hidden="1" x14ac:dyDescent="0.25">
      <c r="A255" s="6">
        <v>504847</v>
      </c>
      <c r="B255" s="7">
        <v>1</v>
      </c>
      <c r="C255" s="7">
        <v>1063.8384739993901</v>
      </c>
      <c r="D255" s="7">
        <v>7</v>
      </c>
      <c r="E255" s="1">
        <v>7</v>
      </c>
      <c r="F255" s="7">
        <v>5</v>
      </c>
      <c r="G255" s="7">
        <v>5</v>
      </c>
      <c r="H255" s="7">
        <v>5</v>
      </c>
      <c r="I255" s="7">
        <v>5</v>
      </c>
      <c r="J255" s="8">
        <v>5</v>
      </c>
    </row>
    <row r="256" spans="1:10" x14ac:dyDescent="0.25">
      <c r="A256" s="6">
        <v>504856</v>
      </c>
      <c r="B256" s="7">
        <v>2</v>
      </c>
      <c r="C256" s="7">
        <v>460.567775913096</v>
      </c>
      <c r="D256" s="7">
        <v>6</v>
      </c>
      <c r="E256" s="1">
        <v>6</v>
      </c>
      <c r="F256" s="7">
        <v>5</v>
      </c>
      <c r="G256" s="7">
        <v>5</v>
      </c>
      <c r="H256" s="7">
        <v>5</v>
      </c>
      <c r="I256" s="7">
        <v>5</v>
      </c>
      <c r="J256" s="8">
        <v>5</v>
      </c>
    </row>
    <row r="257" spans="1:10" hidden="1" x14ac:dyDescent="0.25">
      <c r="A257" s="6">
        <v>504857</v>
      </c>
      <c r="B257" s="7">
        <v>2</v>
      </c>
      <c r="C257" s="7">
        <v>1409.70308395749</v>
      </c>
      <c r="D257" s="7">
        <v>5</v>
      </c>
      <c r="E257" s="1">
        <v>5</v>
      </c>
      <c r="F257" s="7">
        <v>5</v>
      </c>
      <c r="G257" s="7">
        <v>5</v>
      </c>
      <c r="H257" s="7">
        <v>5</v>
      </c>
      <c r="I257" s="7">
        <v>5</v>
      </c>
      <c r="J257" s="8">
        <v>5</v>
      </c>
    </row>
    <row r="258" spans="1:10" hidden="1" x14ac:dyDescent="0.25">
      <c r="A258" s="6">
        <v>504865</v>
      </c>
      <c r="B258" s="7">
        <v>1</v>
      </c>
      <c r="C258" s="7">
        <v>880.64575217293896</v>
      </c>
      <c r="D258" s="7">
        <v>4</v>
      </c>
      <c r="E258" s="1">
        <v>4</v>
      </c>
      <c r="F258" s="7">
        <v>5</v>
      </c>
      <c r="G258" s="7">
        <v>5</v>
      </c>
      <c r="H258" s="7">
        <v>5</v>
      </c>
      <c r="I258" s="7">
        <v>5</v>
      </c>
      <c r="J258" s="8">
        <v>5</v>
      </c>
    </row>
    <row r="259" spans="1:10" hidden="1" x14ac:dyDescent="0.25">
      <c r="A259" s="6">
        <v>504896</v>
      </c>
      <c r="B259" s="7">
        <v>1</v>
      </c>
      <c r="C259" s="7">
        <v>532.96544345682105</v>
      </c>
      <c r="D259" s="7">
        <v>3</v>
      </c>
      <c r="E259" s="1">
        <v>3</v>
      </c>
      <c r="F259" s="7">
        <v>5</v>
      </c>
      <c r="G259" s="7">
        <v>5</v>
      </c>
      <c r="H259" s="7">
        <v>5</v>
      </c>
      <c r="I259" s="7">
        <v>5</v>
      </c>
      <c r="J259" s="8">
        <v>5</v>
      </c>
    </row>
    <row r="260" spans="1:10" hidden="1" x14ac:dyDescent="0.25">
      <c r="A260" s="6">
        <v>504915</v>
      </c>
      <c r="B260" s="7">
        <v>1</v>
      </c>
      <c r="C260" s="7">
        <v>1620.20553330383</v>
      </c>
      <c r="D260" s="7">
        <v>3</v>
      </c>
      <c r="E260" s="1">
        <v>3</v>
      </c>
      <c r="F260" s="7">
        <v>5</v>
      </c>
      <c r="G260" s="7">
        <v>5</v>
      </c>
      <c r="H260" s="7">
        <v>5</v>
      </c>
      <c r="I260" s="7">
        <v>5</v>
      </c>
      <c r="J260" s="8">
        <v>5</v>
      </c>
    </row>
    <row r="261" spans="1:10" hidden="1" x14ac:dyDescent="0.25">
      <c r="A261" s="6">
        <v>504933</v>
      </c>
      <c r="B261" s="7">
        <v>2</v>
      </c>
      <c r="C261" s="7">
        <v>236.325832493289</v>
      </c>
      <c r="D261" s="7">
        <v>7</v>
      </c>
      <c r="E261" s="1">
        <v>7</v>
      </c>
      <c r="F261" s="7">
        <v>5</v>
      </c>
      <c r="G261" s="7">
        <v>5</v>
      </c>
      <c r="H261" s="7">
        <v>5</v>
      </c>
      <c r="I261" s="7">
        <v>5</v>
      </c>
      <c r="J261" s="8">
        <v>5</v>
      </c>
    </row>
    <row r="262" spans="1:10" x14ac:dyDescent="0.25">
      <c r="A262" s="6">
        <v>504935</v>
      </c>
      <c r="B262" s="7">
        <v>2</v>
      </c>
      <c r="C262" s="7">
        <v>128.45401939376501</v>
      </c>
      <c r="D262" s="7">
        <v>9</v>
      </c>
      <c r="E262" s="1">
        <v>9</v>
      </c>
      <c r="F262" s="7">
        <v>5</v>
      </c>
      <c r="G262" s="7">
        <v>5</v>
      </c>
      <c r="H262" s="7">
        <v>5</v>
      </c>
      <c r="I262" s="7">
        <v>5</v>
      </c>
      <c r="J262" s="8">
        <v>5</v>
      </c>
    </row>
    <row r="263" spans="1:10" hidden="1" x14ac:dyDescent="0.25">
      <c r="A263" s="6">
        <v>504936</v>
      </c>
      <c r="B263" s="7">
        <v>1</v>
      </c>
      <c r="C263" s="7">
        <v>1467.6828280019199</v>
      </c>
      <c r="D263" s="7">
        <v>5</v>
      </c>
      <c r="E263" s="1">
        <v>5</v>
      </c>
      <c r="F263" s="7">
        <v>5</v>
      </c>
      <c r="G263" s="7">
        <v>5</v>
      </c>
      <c r="H263" s="7">
        <v>5</v>
      </c>
      <c r="I263" s="7">
        <v>5</v>
      </c>
      <c r="J263" s="8">
        <v>5</v>
      </c>
    </row>
    <row r="264" spans="1:10" hidden="1" x14ac:dyDescent="0.25">
      <c r="A264" s="6">
        <v>504966</v>
      </c>
      <c r="B264" s="7">
        <v>2</v>
      </c>
      <c r="C264" s="7">
        <v>26.629878399302701</v>
      </c>
      <c r="D264" s="7">
        <v>7</v>
      </c>
      <c r="E264" s="1">
        <v>7</v>
      </c>
      <c r="F264" s="7">
        <v>5</v>
      </c>
      <c r="G264" s="7">
        <v>5</v>
      </c>
      <c r="H264" s="7">
        <v>5</v>
      </c>
      <c r="I264" s="7">
        <v>5</v>
      </c>
      <c r="J264" s="8">
        <v>5</v>
      </c>
    </row>
    <row r="265" spans="1:10" hidden="1" x14ac:dyDescent="0.25">
      <c r="A265" s="6">
        <v>504979</v>
      </c>
      <c r="B265" s="7">
        <v>2</v>
      </c>
      <c r="C265" s="7">
        <v>119.015282085484</v>
      </c>
      <c r="D265" s="7">
        <v>2</v>
      </c>
      <c r="E265" s="1">
        <v>7</v>
      </c>
      <c r="F265" s="7">
        <v>5</v>
      </c>
      <c r="G265" s="7">
        <v>5</v>
      </c>
      <c r="H265" s="7">
        <v>5</v>
      </c>
      <c r="I265" s="7">
        <v>5</v>
      </c>
      <c r="J265" s="8">
        <v>5</v>
      </c>
    </row>
    <row r="266" spans="1:10" hidden="1" x14ac:dyDescent="0.25">
      <c r="A266" s="6">
        <v>505048</v>
      </c>
      <c r="B266" s="7">
        <v>2</v>
      </c>
      <c r="C266" s="7">
        <v>1673.2704347030301</v>
      </c>
      <c r="D266" s="7">
        <v>5</v>
      </c>
      <c r="E266" s="1">
        <v>5</v>
      </c>
      <c r="F266" s="7">
        <v>5</v>
      </c>
      <c r="G266" s="7">
        <v>5</v>
      </c>
      <c r="H266" s="7">
        <v>5</v>
      </c>
      <c r="I266" s="7">
        <v>5</v>
      </c>
      <c r="J266" s="8">
        <v>5</v>
      </c>
    </row>
    <row r="267" spans="1:10" hidden="1" x14ac:dyDescent="0.25">
      <c r="A267" s="6">
        <v>505052</v>
      </c>
      <c r="B267" s="7">
        <v>1</v>
      </c>
      <c r="C267" s="7">
        <v>989.43421147835602</v>
      </c>
      <c r="D267" s="7">
        <v>4</v>
      </c>
      <c r="E267" s="1">
        <v>4</v>
      </c>
      <c r="F267" s="7">
        <v>5</v>
      </c>
      <c r="G267" s="7">
        <v>5</v>
      </c>
      <c r="H267" s="7">
        <v>5</v>
      </c>
      <c r="I267" s="7">
        <v>5</v>
      </c>
      <c r="J267" s="8">
        <v>5</v>
      </c>
    </row>
    <row r="268" spans="1:10" hidden="1" x14ac:dyDescent="0.25">
      <c r="A268" s="6">
        <v>505059</v>
      </c>
      <c r="B268" s="7">
        <v>1</v>
      </c>
      <c r="C268" s="7">
        <v>582.89462828966305</v>
      </c>
      <c r="D268" s="7">
        <v>7</v>
      </c>
      <c r="E268" s="1">
        <v>7</v>
      </c>
      <c r="F268" s="7">
        <v>5</v>
      </c>
      <c r="G268" s="7">
        <v>5</v>
      </c>
      <c r="H268" s="7">
        <v>5</v>
      </c>
      <c r="I268" s="7">
        <v>5</v>
      </c>
      <c r="J268" s="8">
        <v>5</v>
      </c>
    </row>
    <row r="269" spans="1:10" hidden="1" x14ac:dyDescent="0.25">
      <c r="A269" s="6">
        <v>505067</v>
      </c>
      <c r="B269" s="7">
        <v>2</v>
      </c>
      <c r="C269" s="7">
        <v>661.59856415804904</v>
      </c>
      <c r="D269" s="7">
        <v>7</v>
      </c>
      <c r="E269" s="1">
        <v>7</v>
      </c>
      <c r="F269" s="7">
        <v>5</v>
      </c>
      <c r="G269" s="7">
        <v>5</v>
      </c>
      <c r="H269" s="7">
        <v>5</v>
      </c>
      <c r="I269" s="7">
        <v>5</v>
      </c>
      <c r="J269" s="8">
        <v>5</v>
      </c>
    </row>
    <row r="270" spans="1:10" x14ac:dyDescent="0.25">
      <c r="A270" s="6">
        <v>505114</v>
      </c>
      <c r="B270" s="7">
        <v>2</v>
      </c>
      <c r="C270" s="7">
        <v>482.786739686825</v>
      </c>
      <c r="D270" s="7">
        <v>9</v>
      </c>
      <c r="E270" s="1">
        <v>9</v>
      </c>
      <c r="F270" s="7">
        <v>5</v>
      </c>
      <c r="G270" s="7">
        <v>5</v>
      </c>
      <c r="H270" s="7">
        <v>5</v>
      </c>
      <c r="I270" s="7">
        <v>5</v>
      </c>
      <c r="J270" s="8">
        <v>5</v>
      </c>
    </row>
    <row r="271" spans="1:10" hidden="1" x14ac:dyDescent="0.25">
      <c r="A271" s="6">
        <v>505162</v>
      </c>
      <c r="B271" s="7">
        <v>2</v>
      </c>
      <c r="C271" s="7">
        <v>149.145538763925</v>
      </c>
      <c r="D271" s="7">
        <v>7</v>
      </c>
      <c r="E271" s="1">
        <v>7</v>
      </c>
      <c r="F271" s="7">
        <v>5</v>
      </c>
      <c r="G271" s="7">
        <v>5</v>
      </c>
      <c r="H271" s="7">
        <v>5</v>
      </c>
      <c r="I271" s="7">
        <v>5</v>
      </c>
      <c r="J271" s="8">
        <v>5</v>
      </c>
    </row>
    <row r="272" spans="1:10" hidden="1" x14ac:dyDescent="0.25">
      <c r="A272" s="6">
        <v>505173</v>
      </c>
      <c r="B272" s="7">
        <v>1</v>
      </c>
      <c r="C272" s="7">
        <v>1205.0169971472201</v>
      </c>
      <c r="D272" s="7">
        <v>5</v>
      </c>
      <c r="E272" s="1">
        <v>5</v>
      </c>
      <c r="F272" s="7">
        <v>5</v>
      </c>
      <c r="G272" s="7">
        <v>5</v>
      </c>
      <c r="H272" s="7">
        <v>5</v>
      </c>
      <c r="I272" s="7">
        <v>5</v>
      </c>
      <c r="J272" s="8">
        <v>5</v>
      </c>
    </row>
    <row r="273" spans="1:10" hidden="1" x14ac:dyDescent="0.25">
      <c r="A273" s="6">
        <v>505209</v>
      </c>
      <c r="B273" s="7">
        <v>2</v>
      </c>
      <c r="C273" s="7">
        <v>1108.9586604004801</v>
      </c>
      <c r="D273" s="7">
        <v>7</v>
      </c>
      <c r="E273" s="1">
        <v>7</v>
      </c>
      <c r="F273" s="7">
        <v>5</v>
      </c>
      <c r="G273" s="7">
        <v>5</v>
      </c>
      <c r="H273" s="7">
        <v>5</v>
      </c>
      <c r="I273" s="7">
        <v>5</v>
      </c>
      <c r="J273" s="8">
        <v>5</v>
      </c>
    </row>
    <row r="274" spans="1:10" x14ac:dyDescent="0.25">
      <c r="A274" s="6">
        <v>505244</v>
      </c>
      <c r="B274" s="7">
        <v>2</v>
      </c>
      <c r="C274" s="7">
        <v>308.97330173938701</v>
      </c>
      <c r="D274" s="7">
        <v>8</v>
      </c>
      <c r="E274" s="1">
        <v>8</v>
      </c>
      <c r="F274" s="7">
        <v>5</v>
      </c>
      <c r="G274" s="7">
        <v>5</v>
      </c>
      <c r="H274" s="7">
        <v>5</v>
      </c>
      <c r="I274" s="7">
        <v>5</v>
      </c>
      <c r="J274" s="8">
        <v>5</v>
      </c>
    </row>
    <row r="275" spans="1:10" x14ac:dyDescent="0.25">
      <c r="A275" s="6">
        <v>505247</v>
      </c>
      <c r="B275" s="7">
        <v>2</v>
      </c>
      <c r="C275" s="7">
        <v>570.56248270100002</v>
      </c>
      <c r="D275" s="7">
        <v>9</v>
      </c>
      <c r="E275" s="1">
        <v>9</v>
      </c>
      <c r="F275" s="7">
        <v>5</v>
      </c>
      <c r="G275" s="7">
        <v>5</v>
      </c>
      <c r="H275" s="7">
        <v>5</v>
      </c>
      <c r="I275" s="7">
        <v>5</v>
      </c>
      <c r="J275" s="8">
        <v>5</v>
      </c>
    </row>
    <row r="276" spans="1:10" hidden="1" x14ac:dyDescent="0.25">
      <c r="A276" s="6">
        <v>505263</v>
      </c>
      <c r="B276" s="7">
        <v>1</v>
      </c>
      <c r="C276" s="7">
        <v>652.43148990651696</v>
      </c>
      <c r="D276" s="7">
        <v>5</v>
      </c>
      <c r="E276" s="1">
        <v>5</v>
      </c>
      <c r="F276" s="7">
        <v>5</v>
      </c>
      <c r="G276" s="7">
        <v>5</v>
      </c>
      <c r="H276" s="7">
        <v>5</v>
      </c>
      <c r="I276" s="7">
        <v>5</v>
      </c>
      <c r="J276" s="8">
        <v>5</v>
      </c>
    </row>
    <row r="277" spans="1:10" hidden="1" x14ac:dyDescent="0.25">
      <c r="A277" s="6">
        <v>505304</v>
      </c>
      <c r="B277" s="7">
        <v>2</v>
      </c>
      <c r="C277" s="7">
        <v>898.76336419069003</v>
      </c>
      <c r="D277" s="7">
        <v>7</v>
      </c>
      <c r="E277" s="1">
        <v>7</v>
      </c>
      <c r="F277" s="7">
        <v>5</v>
      </c>
      <c r="G277" s="7">
        <v>5</v>
      </c>
      <c r="H277" s="7">
        <v>5</v>
      </c>
      <c r="I277" s="7">
        <v>5</v>
      </c>
      <c r="J277" s="8">
        <v>5</v>
      </c>
    </row>
    <row r="278" spans="1:10" x14ac:dyDescent="0.25">
      <c r="A278" s="6">
        <v>505321</v>
      </c>
      <c r="B278" s="7">
        <v>2</v>
      </c>
      <c r="C278" s="7">
        <v>222.24139820382899</v>
      </c>
      <c r="D278" s="7">
        <v>9</v>
      </c>
      <c r="E278" s="1">
        <v>9</v>
      </c>
      <c r="F278" s="7">
        <v>1</v>
      </c>
      <c r="G278" s="7">
        <v>1</v>
      </c>
      <c r="H278" s="7">
        <v>5</v>
      </c>
      <c r="I278" s="7">
        <v>5</v>
      </c>
      <c r="J278" s="8">
        <v>5</v>
      </c>
    </row>
    <row r="279" spans="1:10" hidden="1" x14ac:dyDescent="0.25">
      <c r="A279" s="6">
        <v>505326</v>
      </c>
      <c r="B279" s="7">
        <v>1</v>
      </c>
      <c r="C279" s="7">
        <v>881.51971087367394</v>
      </c>
      <c r="D279" s="7">
        <v>2</v>
      </c>
      <c r="E279" s="1">
        <v>9</v>
      </c>
      <c r="F279" s="7">
        <v>5</v>
      </c>
      <c r="G279" s="7">
        <v>5</v>
      </c>
      <c r="H279" s="7">
        <v>5</v>
      </c>
      <c r="I279" s="7">
        <v>5</v>
      </c>
      <c r="J279" s="8">
        <v>5</v>
      </c>
    </row>
    <row r="280" spans="1:10" hidden="1" x14ac:dyDescent="0.25">
      <c r="A280" s="6">
        <v>505328</v>
      </c>
      <c r="B280" s="7">
        <v>1</v>
      </c>
      <c r="C280" s="7">
        <v>591.69554134995406</v>
      </c>
      <c r="D280" s="7">
        <v>4</v>
      </c>
      <c r="E280" s="1">
        <v>4</v>
      </c>
      <c r="F280" s="7">
        <v>5</v>
      </c>
      <c r="G280" s="7">
        <v>5</v>
      </c>
      <c r="H280" s="7">
        <v>5</v>
      </c>
      <c r="I280" s="7">
        <v>5</v>
      </c>
      <c r="J280" s="8">
        <v>5</v>
      </c>
    </row>
    <row r="281" spans="1:10" hidden="1" x14ac:dyDescent="0.25">
      <c r="A281" s="6">
        <v>505339</v>
      </c>
      <c r="B281" s="7">
        <v>1</v>
      </c>
      <c r="C281" s="7">
        <v>610.90816266404795</v>
      </c>
      <c r="D281" s="7">
        <v>2</v>
      </c>
      <c r="E281" s="1">
        <v>5</v>
      </c>
      <c r="F281" s="7">
        <v>5</v>
      </c>
      <c r="G281" s="7">
        <v>5</v>
      </c>
      <c r="H281" s="7">
        <v>5</v>
      </c>
      <c r="I281" s="7">
        <v>5</v>
      </c>
      <c r="J281" s="8">
        <v>5</v>
      </c>
    </row>
    <row r="282" spans="1:10" hidden="1" x14ac:dyDescent="0.25">
      <c r="A282" s="6">
        <v>505361</v>
      </c>
      <c r="B282" s="7">
        <v>1</v>
      </c>
      <c r="C282" s="7">
        <v>468.10678787192097</v>
      </c>
      <c r="D282" s="7">
        <v>5</v>
      </c>
      <c r="E282" s="1">
        <v>5</v>
      </c>
      <c r="F282" s="7">
        <v>5</v>
      </c>
      <c r="G282" s="7">
        <v>5</v>
      </c>
      <c r="H282" s="7">
        <v>5</v>
      </c>
      <c r="I282" s="7">
        <v>5</v>
      </c>
      <c r="J282" s="8">
        <v>5</v>
      </c>
    </row>
    <row r="283" spans="1:10" hidden="1" x14ac:dyDescent="0.25">
      <c r="A283" s="6">
        <v>505362</v>
      </c>
      <c r="B283" s="7">
        <v>2</v>
      </c>
      <c r="C283" s="7">
        <v>335.55702414731201</v>
      </c>
      <c r="D283" s="7">
        <v>7</v>
      </c>
      <c r="E283" s="1">
        <v>7</v>
      </c>
      <c r="F283" s="7">
        <v>5</v>
      </c>
      <c r="G283" s="7">
        <v>5</v>
      </c>
      <c r="H283" s="7">
        <v>5</v>
      </c>
      <c r="I283" s="7">
        <v>5</v>
      </c>
      <c r="J283" s="8">
        <v>5</v>
      </c>
    </row>
    <row r="284" spans="1:10" hidden="1" x14ac:dyDescent="0.25">
      <c r="A284" s="6">
        <v>505388</v>
      </c>
      <c r="B284" s="7">
        <v>1</v>
      </c>
      <c r="C284" s="7">
        <v>673.10559729358397</v>
      </c>
      <c r="D284" s="7">
        <v>1</v>
      </c>
      <c r="E284" s="1">
        <v>5</v>
      </c>
      <c r="F284" s="7">
        <v>5</v>
      </c>
      <c r="G284" s="7">
        <v>5</v>
      </c>
      <c r="H284" s="7">
        <v>5</v>
      </c>
      <c r="I284" s="7">
        <v>5</v>
      </c>
      <c r="J284" s="8">
        <v>5</v>
      </c>
    </row>
    <row r="285" spans="1:10" x14ac:dyDescent="0.25">
      <c r="A285" s="6">
        <v>505460</v>
      </c>
      <c r="B285" s="7">
        <v>2</v>
      </c>
      <c r="C285" s="7">
        <v>36.9473505913544</v>
      </c>
      <c r="D285" s="7">
        <v>8</v>
      </c>
      <c r="E285" s="1">
        <v>8</v>
      </c>
      <c r="F285" s="7">
        <v>5</v>
      </c>
      <c r="G285" s="7">
        <v>5</v>
      </c>
      <c r="H285" s="7">
        <v>5</v>
      </c>
      <c r="I285" s="7">
        <v>5</v>
      </c>
      <c r="J285" s="8">
        <v>5</v>
      </c>
    </row>
    <row r="286" spans="1:10" hidden="1" x14ac:dyDescent="0.25">
      <c r="A286" s="6">
        <v>505532</v>
      </c>
      <c r="B286" s="7">
        <v>1</v>
      </c>
      <c r="C286" s="7">
        <v>896.78295892476103</v>
      </c>
      <c r="D286" s="7">
        <v>7</v>
      </c>
      <c r="E286" s="1">
        <v>3</v>
      </c>
      <c r="F286" s="7">
        <v>5</v>
      </c>
      <c r="G286" s="7">
        <v>5</v>
      </c>
      <c r="H286" s="7">
        <v>5</v>
      </c>
      <c r="I286" s="7">
        <v>5</v>
      </c>
      <c r="J286" s="8">
        <v>5</v>
      </c>
    </row>
    <row r="287" spans="1:10" x14ac:dyDescent="0.25">
      <c r="A287" s="6">
        <v>505567</v>
      </c>
      <c r="B287" s="7">
        <v>2</v>
      </c>
      <c r="C287" s="7">
        <v>526.65730011386995</v>
      </c>
      <c r="D287" s="7">
        <v>8</v>
      </c>
      <c r="E287" s="1">
        <v>8</v>
      </c>
      <c r="F287" s="7">
        <v>5</v>
      </c>
      <c r="G287" s="7">
        <v>5</v>
      </c>
      <c r="H287" s="7">
        <v>5</v>
      </c>
      <c r="I287" s="7">
        <v>5</v>
      </c>
      <c r="J287" s="8">
        <v>5</v>
      </c>
    </row>
    <row r="288" spans="1:10" x14ac:dyDescent="0.25">
      <c r="A288" s="6">
        <v>505577</v>
      </c>
      <c r="B288" s="7">
        <v>2</v>
      </c>
      <c r="C288" s="7">
        <v>621.82849805461296</v>
      </c>
      <c r="D288" s="7">
        <v>8</v>
      </c>
      <c r="E288" s="1">
        <v>8</v>
      </c>
      <c r="F288" s="7">
        <v>5</v>
      </c>
      <c r="G288" s="7">
        <v>5</v>
      </c>
      <c r="H288" s="7">
        <v>5</v>
      </c>
      <c r="I288" s="7">
        <v>5</v>
      </c>
      <c r="J288" s="8">
        <v>5</v>
      </c>
    </row>
    <row r="289" spans="1:10" x14ac:dyDescent="0.25">
      <c r="A289" s="6">
        <v>505588</v>
      </c>
      <c r="B289" s="7">
        <v>2</v>
      </c>
      <c r="C289" s="7">
        <v>531.57435051341497</v>
      </c>
      <c r="D289" s="7">
        <v>8</v>
      </c>
      <c r="E289" s="1">
        <v>8</v>
      </c>
      <c r="F289" s="7">
        <v>5</v>
      </c>
      <c r="G289" s="7">
        <v>5</v>
      </c>
      <c r="H289" s="7">
        <v>5</v>
      </c>
      <c r="I289" s="7">
        <v>5</v>
      </c>
      <c r="J289" s="8">
        <v>5</v>
      </c>
    </row>
    <row r="290" spans="1:10" hidden="1" x14ac:dyDescent="0.25">
      <c r="A290" s="6">
        <v>505667</v>
      </c>
      <c r="B290" s="7">
        <v>2</v>
      </c>
      <c r="C290" s="7">
        <v>30.9772424276041</v>
      </c>
      <c r="D290" s="7">
        <v>4</v>
      </c>
      <c r="E290" s="1">
        <v>4</v>
      </c>
      <c r="F290" s="7">
        <v>5</v>
      </c>
      <c r="G290" s="7">
        <v>5</v>
      </c>
      <c r="H290" s="7">
        <v>5</v>
      </c>
      <c r="I290" s="7">
        <v>5</v>
      </c>
      <c r="J290" s="8">
        <v>5</v>
      </c>
    </row>
    <row r="291" spans="1:10" hidden="1" x14ac:dyDescent="0.25">
      <c r="A291" s="6">
        <v>505684</v>
      </c>
      <c r="B291" s="7">
        <v>2</v>
      </c>
      <c r="C291" s="7">
        <v>364.35681681112698</v>
      </c>
      <c r="D291" s="7">
        <v>7</v>
      </c>
      <c r="E291" s="1">
        <v>7</v>
      </c>
      <c r="F291" s="7">
        <v>5</v>
      </c>
      <c r="G291" s="7">
        <v>5</v>
      </c>
      <c r="H291" s="7">
        <v>5</v>
      </c>
      <c r="I291" s="7">
        <v>5</v>
      </c>
      <c r="J291" s="8">
        <v>5</v>
      </c>
    </row>
    <row r="292" spans="1:10" hidden="1" x14ac:dyDescent="0.25">
      <c r="A292" s="6">
        <v>505685</v>
      </c>
      <c r="B292" s="7">
        <v>1</v>
      </c>
      <c r="C292" s="7">
        <v>507.47018072273301</v>
      </c>
      <c r="D292" s="7">
        <v>5</v>
      </c>
      <c r="E292" s="1">
        <v>5</v>
      </c>
      <c r="F292" s="7">
        <v>5</v>
      </c>
      <c r="G292" s="7">
        <v>5</v>
      </c>
      <c r="H292" s="7">
        <v>5</v>
      </c>
      <c r="I292" s="7">
        <v>5</v>
      </c>
      <c r="J292" s="8">
        <v>5</v>
      </c>
    </row>
    <row r="293" spans="1:10" hidden="1" x14ac:dyDescent="0.25">
      <c r="A293" s="6">
        <v>505686</v>
      </c>
      <c r="B293" s="7">
        <v>2</v>
      </c>
      <c r="C293" s="7">
        <v>853.42556490752895</v>
      </c>
      <c r="D293" s="7">
        <v>7</v>
      </c>
      <c r="E293" s="1">
        <v>5</v>
      </c>
      <c r="F293" s="7">
        <v>5</v>
      </c>
      <c r="G293" s="7">
        <v>5</v>
      </c>
      <c r="H293" s="7">
        <v>5</v>
      </c>
      <c r="I293" s="7">
        <v>5</v>
      </c>
      <c r="J293" s="8">
        <v>5</v>
      </c>
    </row>
    <row r="294" spans="1:10" hidden="1" x14ac:dyDescent="0.25">
      <c r="A294" s="6">
        <v>505687</v>
      </c>
      <c r="B294" s="7">
        <v>2</v>
      </c>
      <c r="C294" s="7">
        <v>396.17780972670602</v>
      </c>
      <c r="D294" s="7">
        <v>7</v>
      </c>
      <c r="E294" s="1">
        <v>7</v>
      </c>
      <c r="F294" s="7">
        <v>5</v>
      </c>
      <c r="G294" s="7">
        <v>5</v>
      </c>
      <c r="H294" s="7">
        <v>5</v>
      </c>
      <c r="I294" s="7">
        <v>5</v>
      </c>
      <c r="J294" s="8">
        <v>5</v>
      </c>
    </row>
    <row r="295" spans="1:10" hidden="1" x14ac:dyDescent="0.25">
      <c r="A295" s="6">
        <v>505713</v>
      </c>
      <c r="B295" s="7">
        <v>1</v>
      </c>
      <c r="C295" s="7">
        <v>983.86841901996104</v>
      </c>
      <c r="D295" s="7">
        <v>1</v>
      </c>
      <c r="E295" s="1">
        <v>3</v>
      </c>
      <c r="F295" s="7">
        <v>5</v>
      </c>
      <c r="G295" s="7">
        <v>5</v>
      </c>
      <c r="H295" s="7">
        <v>5</v>
      </c>
      <c r="I295" s="7">
        <v>5</v>
      </c>
      <c r="J295" s="8">
        <v>5</v>
      </c>
    </row>
    <row r="296" spans="1:10" hidden="1" x14ac:dyDescent="0.25">
      <c r="A296" s="6">
        <v>505746</v>
      </c>
      <c r="B296" s="7">
        <v>1</v>
      </c>
      <c r="C296" s="7">
        <v>897.84774692191502</v>
      </c>
      <c r="D296" s="7">
        <v>5</v>
      </c>
      <c r="E296" s="1">
        <v>5</v>
      </c>
      <c r="F296" s="7">
        <v>5</v>
      </c>
      <c r="G296" s="7">
        <v>5</v>
      </c>
      <c r="H296" s="7">
        <v>5</v>
      </c>
      <c r="I296" s="7">
        <v>5</v>
      </c>
      <c r="J296" s="8">
        <v>5</v>
      </c>
    </row>
    <row r="297" spans="1:10" hidden="1" x14ac:dyDescent="0.25">
      <c r="A297" s="6">
        <v>505756</v>
      </c>
      <c r="B297" s="7">
        <v>1</v>
      </c>
      <c r="C297" s="7">
        <v>580.32711778582905</v>
      </c>
      <c r="D297" s="7">
        <v>7</v>
      </c>
      <c r="E297" s="1">
        <v>6</v>
      </c>
      <c r="F297" s="7">
        <v>5</v>
      </c>
      <c r="G297" s="7">
        <v>5</v>
      </c>
      <c r="H297" s="7">
        <v>5</v>
      </c>
      <c r="I297" s="7">
        <v>5</v>
      </c>
      <c r="J297" s="8">
        <v>5</v>
      </c>
    </row>
    <row r="298" spans="1:10" hidden="1" x14ac:dyDescent="0.25">
      <c r="A298" s="6">
        <v>505758</v>
      </c>
      <c r="B298" s="7">
        <v>1</v>
      </c>
      <c r="C298" s="7">
        <v>264.32163083588603</v>
      </c>
      <c r="D298" s="7">
        <v>7</v>
      </c>
      <c r="E298" s="1">
        <v>7</v>
      </c>
      <c r="F298" s="7">
        <v>5</v>
      </c>
      <c r="G298" s="7">
        <v>5</v>
      </c>
      <c r="H298" s="7">
        <v>5</v>
      </c>
      <c r="I298" s="7">
        <v>5</v>
      </c>
      <c r="J298" s="8">
        <v>5</v>
      </c>
    </row>
    <row r="299" spans="1:10" hidden="1" x14ac:dyDescent="0.25">
      <c r="A299" s="6">
        <v>505770</v>
      </c>
      <c r="B299" s="7">
        <v>1</v>
      </c>
      <c r="C299" s="7">
        <v>648.21103003311703</v>
      </c>
      <c r="D299" s="7">
        <v>2</v>
      </c>
      <c r="E299" s="1">
        <v>7</v>
      </c>
      <c r="F299" s="7">
        <v>5</v>
      </c>
      <c r="G299" s="7">
        <v>5</v>
      </c>
      <c r="H299" s="7">
        <v>5</v>
      </c>
      <c r="I299" s="7">
        <v>5</v>
      </c>
      <c r="J299" s="8">
        <v>5</v>
      </c>
    </row>
    <row r="300" spans="1:10" x14ac:dyDescent="0.25">
      <c r="A300" s="6">
        <v>505778</v>
      </c>
      <c r="B300" s="7">
        <v>2</v>
      </c>
      <c r="C300" s="7">
        <v>728.18195719402695</v>
      </c>
      <c r="D300" s="7">
        <v>6</v>
      </c>
      <c r="E300" s="1">
        <v>5</v>
      </c>
      <c r="F300" s="7">
        <v>5</v>
      </c>
      <c r="G300" s="7">
        <v>5</v>
      </c>
      <c r="H300" s="7">
        <v>5</v>
      </c>
      <c r="I300" s="7">
        <v>5</v>
      </c>
      <c r="J300" s="8">
        <v>5</v>
      </c>
    </row>
    <row r="301" spans="1:10" hidden="1" x14ac:dyDescent="0.25">
      <c r="A301" s="6">
        <v>505781</v>
      </c>
      <c r="B301" s="7">
        <v>1</v>
      </c>
      <c r="C301" s="7">
        <v>408.22969723272303</v>
      </c>
      <c r="D301" s="7">
        <v>2</v>
      </c>
      <c r="E301" s="1">
        <v>5</v>
      </c>
      <c r="F301" s="7">
        <v>5</v>
      </c>
      <c r="G301" s="7">
        <v>5</v>
      </c>
      <c r="H301" s="7">
        <v>5</v>
      </c>
      <c r="I301" s="7">
        <v>5</v>
      </c>
      <c r="J301" s="8">
        <v>5</v>
      </c>
    </row>
    <row r="302" spans="1:10" hidden="1" x14ac:dyDescent="0.25">
      <c r="A302" s="6">
        <v>505782</v>
      </c>
      <c r="B302" s="7">
        <v>1</v>
      </c>
      <c r="C302" s="7">
        <v>686.784256969843</v>
      </c>
      <c r="D302" s="7">
        <v>4</v>
      </c>
      <c r="E302" s="1">
        <v>9</v>
      </c>
      <c r="F302" s="7">
        <v>5</v>
      </c>
      <c r="G302" s="7">
        <v>5</v>
      </c>
      <c r="H302" s="7">
        <v>5</v>
      </c>
      <c r="I302" s="7">
        <v>5</v>
      </c>
      <c r="J302" s="8">
        <v>5</v>
      </c>
    </row>
    <row r="303" spans="1:10" hidden="1" x14ac:dyDescent="0.25">
      <c r="A303" s="6">
        <v>505790</v>
      </c>
      <c r="B303" s="7">
        <v>1</v>
      </c>
      <c r="C303" s="7">
        <v>918.30767500568595</v>
      </c>
      <c r="D303" s="7">
        <v>4</v>
      </c>
      <c r="E303" s="1">
        <v>4</v>
      </c>
      <c r="F303" s="7">
        <v>5</v>
      </c>
      <c r="G303" s="7">
        <v>5</v>
      </c>
      <c r="H303" s="7">
        <v>5</v>
      </c>
      <c r="I303" s="7">
        <v>5</v>
      </c>
      <c r="J303" s="8">
        <v>5</v>
      </c>
    </row>
    <row r="304" spans="1:10" hidden="1" x14ac:dyDescent="0.25">
      <c r="A304" s="6">
        <v>505793</v>
      </c>
      <c r="B304" s="7">
        <v>2</v>
      </c>
      <c r="C304" s="7">
        <v>330.24484827937601</v>
      </c>
      <c r="D304" s="7">
        <v>7</v>
      </c>
      <c r="E304" s="1">
        <v>7</v>
      </c>
      <c r="F304" s="7">
        <v>5</v>
      </c>
      <c r="G304" s="7">
        <v>5</v>
      </c>
      <c r="H304" s="7">
        <v>5</v>
      </c>
      <c r="I304" s="7">
        <v>5</v>
      </c>
      <c r="J304" s="8">
        <v>5</v>
      </c>
    </row>
    <row r="305" spans="1:10" hidden="1" x14ac:dyDescent="0.25">
      <c r="A305" s="6">
        <v>505797</v>
      </c>
      <c r="B305" s="7">
        <v>1</v>
      </c>
      <c r="C305" s="7">
        <v>511.29785953866201</v>
      </c>
      <c r="D305" s="7">
        <v>3</v>
      </c>
      <c r="E305" s="1">
        <v>3</v>
      </c>
      <c r="F305" s="7">
        <v>5</v>
      </c>
      <c r="G305" s="7">
        <v>5</v>
      </c>
      <c r="H305" s="7">
        <v>5</v>
      </c>
      <c r="I305" s="7">
        <v>5</v>
      </c>
      <c r="J305" s="8">
        <v>5</v>
      </c>
    </row>
    <row r="306" spans="1:10" hidden="1" x14ac:dyDescent="0.25">
      <c r="A306" s="6">
        <v>505799</v>
      </c>
      <c r="B306" s="7">
        <v>1</v>
      </c>
      <c r="C306" s="7">
        <v>352.32941853253902</v>
      </c>
      <c r="D306" s="7">
        <v>3</v>
      </c>
      <c r="E306" s="1">
        <v>3</v>
      </c>
      <c r="F306" s="7">
        <v>5</v>
      </c>
      <c r="G306" s="7">
        <v>5</v>
      </c>
      <c r="H306" s="7">
        <v>5</v>
      </c>
      <c r="I306" s="7">
        <v>5</v>
      </c>
      <c r="J306" s="8">
        <v>5</v>
      </c>
    </row>
    <row r="307" spans="1:10" hidden="1" x14ac:dyDescent="0.25">
      <c r="A307" s="6">
        <v>505821</v>
      </c>
      <c r="B307" s="7">
        <v>2</v>
      </c>
      <c r="C307" s="7">
        <v>599.87202477587903</v>
      </c>
      <c r="D307" s="7">
        <v>7</v>
      </c>
      <c r="E307" s="1">
        <v>7</v>
      </c>
      <c r="F307" s="7">
        <v>5</v>
      </c>
      <c r="G307" s="7">
        <v>5</v>
      </c>
      <c r="H307" s="7">
        <v>5</v>
      </c>
      <c r="I307" s="7">
        <v>5</v>
      </c>
      <c r="J307" s="8">
        <v>5</v>
      </c>
    </row>
    <row r="308" spans="1:10" hidden="1" x14ac:dyDescent="0.25">
      <c r="A308" s="6">
        <v>505839</v>
      </c>
      <c r="B308" s="7">
        <v>1</v>
      </c>
      <c r="C308" s="7">
        <v>1055.4067133246101</v>
      </c>
      <c r="D308" s="7">
        <v>2</v>
      </c>
      <c r="E308" s="1">
        <v>7</v>
      </c>
      <c r="F308" s="7">
        <v>5</v>
      </c>
      <c r="G308" s="7">
        <v>5</v>
      </c>
      <c r="H308" s="7">
        <v>5</v>
      </c>
      <c r="I308" s="7">
        <v>5</v>
      </c>
      <c r="J308" s="8">
        <v>5</v>
      </c>
    </row>
    <row r="309" spans="1:10" x14ac:dyDescent="0.25">
      <c r="A309" s="6">
        <v>505843</v>
      </c>
      <c r="B309" s="7">
        <v>2</v>
      </c>
      <c r="C309" s="7">
        <v>368.83162221134597</v>
      </c>
      <c r="D309" s="7">
        <v>8</v>
      </c>
      <c r="E309" s="1">
        <v>8</v>
      </c>
      <c r="F309" s="7">
        <v>5</v>
      </c>
      <c r="G309" s="7">
        <v>5</v>
      </c>
      <c r="H309" s="7">
        <v>5</v>
      </c>
      <c r="I309" s="7">
        <v>5</v>
      </c>
      <c r="J309" s="8">
        <v>5</v>
      </c>
    </row>
    <row r="310" spans="1:10" hidden="1" x14ac:dyDescent="0.25">
      <c r="A310" s="6">
        <v>505846</v>
      </c>
      <c r="B310" s="7">
        <v>2</v>
      </c>
      <c r="C310" s="7">
        <v>789.39987772026802</v>
      </c>
      <c r="D310" s="7">
        <v>7</v>
      </c>
      <c r="E310" s="1">
        <v>7</v>
      </c>
      <c r="F310" s="7">
        <v>5</v>
      </c>
      <c r="G310" s="7">
        <v>5</v>
      </c>
      <c r="H310" s="7">
        <v>5</v>
      </c>
      <c r="I310" s="7">
        <v>5</v>
      </c>
      <c r="J310" s="8">
        <v>5</v>
      </c>
    </row>
    <row r="311" spans="1:10" hidden="1" x14ac:dyDescent="0.25">
      <c r="A311" s="6">
        <v>505861</v>
      </c>
      <c r="B311" s="7">
        <v>1</v>
      </c>
      <c r="C311" s="7">
        <v>1118.2897102556601</v>
      </c>
      <c r="D311" s="7">
        <v>5</v>
      </c>
      <c r="E311" s="1">
        <v>5</v>
      </c>
      <c r="F311" s="7">
        <v>5</v>
      </c>
      <c r="G311" s="7">
        <v>5</v>
      </c>
      <c r="H311" s="7">
        <v>5</v>
      </c>
      <c r="I311" s="7">
        <v>5</v>
      </c>
      <c r="J311" s="8">
        <v>5</v>
      </c>
    </row>
    <row r="312" spans="1:10" hidden="1" x14ac:dyDescent="0.25">
      <c r="A312" s="6">
        <v>505863</v>
      </c>
      <c r="B312" s="7">
        <v>2</v>
      </c>
      <c r="C312" s="7">
        <v>520.50921982692205</v>
      </c>
      <c r="D312" s="7">
        <v>7</v>
      </c>
      <c r="E312" s="1">
        <v>7</v>
      </c>
      <c r="F312" s="7">
        <v>5</v>
      </c>
      <c r="G312" s="7">
        <v>5</v>
      </c>
      <c r="H312" s="7">
        <v>5</v>
      </c>
      <c r="I312" s="7">
        <v>5</v>
      </c>
      <c r="J312" s="8">
        <v>5</v>
      </c>
    </row>
    <row r="313" spans="1:10" hidden="1" x14ac:dyDescent="0.25">
      <c r="A313" s="6">
        <v>505891</v>
      </c>
      <c r="B313" s="7">
        <v>1</v>
      </c>
      <c r="C313" s="7">
        <v>863.65126672483098</v>
      </c>
      <c r="D313" s="7">
        <v>5</v>
      </c>
      <c r="E313" s="1">
        <v>5</v>
      </c>
      <c r="F313" s="7">
        <v>5</v>
      </c>
      <c r="G313" s="7">
        <v>5</v>
      </c>
      <c r="H313" s="7">
        <v>5</v>
      </c>
      <c r="I313" s="7">
        <v>5</v>
      </c>
      <c r="J313" s="8">
        <v>5</v>
      </c>
    </row>
    <row r="314" spans="1:10" hidden="1" x14ac:dyDescent="0.25">
      <c r="A314" s="6">
        <v>505897</v>
      </c>
      <c r="B314" s="7">
        <v>1</v>
      </c>
      <c r="C314" s="7">
        <v>463.279208266544</v>
      </c>
      <c r="D314" s="7">
        <v>7</v>
      </c>
      <c r="E314" s="1">
        <v>7</v>
      </c>
      <c r="F314" s="7">
        <v>5</v>
      </c>
      <c r="G314" s="7">
        <v>5</v>
      </c>
      <c r="H314" s="7">
        <v>5</v>
      </c>
      <c r="I314" s="7">
        <v>5</v>
      </c>
      <c r="J314" s="8">
        <v>5</v>
      </c>
    </row>
    <row r="315" spans="1:10" hidden="1" x14ac:dyDescent="0.25">
      <c r="A315" s="6">
        <v>505900</v>
      </c>
      <c r="B315" s="7">
        <v>2</v>
      </c>
      <c r="C315" s="7">
        <v>170.19073368565401</v>
      </c>
      <c r="D315" s="7">
        <v>7</v>
      </c>
      <c r="E315" s="1">
        <v>7</v>
      </c>
      <c r="F315" s="7">
        <v>5</v>
      </c>
      <c r="G315" s="7">
        <v>5</v>
      </c>
      <c r="H315" s="7">
        <v>5</v>
      </c>
      <c r="I315" s="7">
        <v>5</v>
      </c>
      <c r="J315" s="8">
        <v>5</v>
      </c>
    </row>
    <row r="316" spans="1:10" hidden="1" x14ac:dyDescent="0.25">
      <c r="A316" s="6">
        <v>505909</v>
      </c>
      <c r="B316" s="7">
        <v>1</v>
      </c>
      <c r="C316" s="7">
        <v>8.1506446070587906</v>
      </c>
      <c r="D316" s="7">
        <v>2</v>
      </c>
      <c r="E316" s="1">
        <v>5</v>
      </c>
      <c r="F316" s="7">
        <v>5</v>
      </c>
      <c r="G316" s="7">
        <v>5</v>
      </c>
      <c r="H316" s="7">
        <v>5</v>
      </c>
      <c r="I316" s="7">
        <v>5</v>
      </c>
      <c r="J316" s="8">
        <v>5</v>
      </c>
    </row>
    <row r="317" spans="1:10" hidden="1" x14ac:dyDescent="0.25">
      <c r="A317" s="6">
        <v>505922</v>
      </c>
      <c r="B317" s="7">
        <v>1</v>
      </c>
      <c r="C317" s="7">
        <v>987.75413953897805</v>
      </c>
      <c r="D317" s="7">
        <v>3</v>
      </c>
      <c r="E317" s="1">
        <v>3</v>
      </c>
      <c r="F317" s="7">
        <v>5</v>
      </c>
      <c r="G317" s="7">
        <v>5</v>
      </c>
      <c r="H317" s="7">
        <v>5</v>
      </c>
      <c r="I317" s="7">
        <v>5</v>
      </c>
      <c r="J317" s="8">
        <v>5</v>
      </c>
    </row>
    <row r="318" spans="1:10" hidden="1" x14ac:dyDescent="0.25">
      <c r="A318" s="6">
        <v>505933</v>
      </c>
      <c r="B318" s="7">
        <v>1</v>
      </c>
      <c r="C318" s="7">
        <v>497.64774496388497</v>
      </c>
      <c r="D318" s="7">
        <v>5</v>
      </c>
      <c r="E318" s="1">
        <v>5</v>
      </c>
      <c r="F318" s="7">
        <v>5</v>
      </c>
      <c r="G318" s="7">
        <v>5</v>
      </c>
      <c r="H318" s="7">
        <v>5</v>
      </c>
      <c r="I318" s="7">
        <v>5</v>
      </c>
      <c r="J318" s="8">
        <v>5</v>
      </c>
    </row>
    <row r="319" spans="1:10" hidden="1" x14ac:dyDescent="0.25">
      <c r="A319" s="6">
        <v>505980</v>
      </c>
      <c r="B319" s="7">
        <v>2</v>
      </c>
      <c r="C319" s="7">
        <v>399.36967513918302</v>
      </c>
      <c r="D319" s="7">
        <v>7</v>
      </c>
      <c r="E319" s="1">
        <v>7</v>
      </c>
      <c r="F319" s="7">
        <v>5</v>
      </c>
      <c r="G319" s="7">
        <v>5</v>
      </c>
      <c r="H319" s="7">
        <v>5</v>
      </c>
      <c r="I319" s="7">
        <v>5</v>
      </c>
      <c r="J319" s="8">
        <v>5</v>
      </c>
    </row>
    <row r="320" spans="1:10" hidden="1" x14ac:dyDescent="0.25">
      <c r="A320" s="6">
        <v>505995</v>
      </c>
      <c r="B320" s="7">
        <v>2</v>
      </c>
      <c r="C320" s="7">
        <v>96.387512521847398</v>
      </c>
      <c r="D320" s="7">
        <v>5</v>
      </c>
      <c r="E320" s="1">
        <v>5</v>
      </c>
      <c r="F320" s="7">
        <v>5</v>
      </c>
      <c r="G320" s="7">
        <v>5</v>
      </c>
      <c r="H320" s="7">
        <v>5</v>
      </c>
      <c r="I320" s="7">
        <v>5</v>
      </c>
      <c r="J320" s="8">
        <v>5</v>
      </c>
    </row>
    <row r="321" spans="1:10" hidden="1" x14ac:dyDescent="0.25">
      <c r="A321" s="6">
        <v>505996</v>
      </c>
      <c r="B321" s="7">
        <v>2</v>
      </c>
      <c r="C321" s="7">
        <v>302.32816298986597</v>
      </c>
      <c r="D321" s="7">
        <v>7</v>
      </c>
      <c r="E321" s="1">
        <v>5</v>
      </c>
      <c r="F321" s="7">
        <v>5</v>
      </c>
      <c r="G321" s="7">
        <v>5</v>
      </c>
      <c r="H321" s="7">
        <v>5</v>
      </c>
      <c r="I321" s="7">
        <v>5</v>
      </c>
      <c r="J321" s="8">
        <v>5</v>
      </c>
    </row>
    <row r="322" spans="1:10" hidden="1" x14ac:dyDescent="0.25">
      <c r="A322" s="6">
        <v>506002</v>
      </c>
      <c r="B322" s="7">
        <v>2</v>
      </c>
      <c r="C322" s="7">
        <v>573.20623299134104</v>
      </c>
      <c r="D322" s="7">
        <v>3</v>
      </c>
      <c r="E322" s="1">
        <v>3</v>
      </c>
      <c r="F322" s="7">
        <v>5</v>
      </c>
      <c r="G322" s="7">
        <v>5</v>
      </c>
      <c r="H322" s="7">
        <v>5</v>
      </c>
      <c r="I322" s="7">
        <v>5</v>
      </c>
      <c r="J322" s="8">
        <v>5</v>
      </c>
    </row>
    <row r="323" spans="1:10" hidden="1" x14ac:dyDescent="0.25">
      <c r="A323" s="6">
        <v>506010</v>
      </c>
      <c r="B323" s="7">
        <v>1</v>
      </c>
      <c r="C323" s="7">
        <v>277.42478937238701</v>
      </c>
      <c r="D323" s="7">
        <v>5</v>
      </c>
      <c r="E323" s="1">
        <v>5</v>
      </c>
      <c r="F323" s="7">
        <v>5</v>
      </c>
      <c r="G323" s="7">
        <v>5</v>
      </c>
      <c r="H323" s="7">
        <v>5</v>
      </c>
      <c r="I323" s="7">
        <v>5</v>
      </c>
      <c r="J323" s="8">
        <v>5</v>
      </c>
    </row>
    <row r="324" spans="1:10" hidden="1" x14ac:dyDescent="0.25">
      <c r="A324" s="6">
        <v>506046</v>
      </c>
      <c r="B324" s="7">
        <v>1</v>
      </c>
      <c r="C324" s="7">
        <v>978.65907410669604</v>
      </c>
      <c r="D324" s="7">
        <v>2</v>
      </c>
      <c r="E324" s="1">
        <v>5</v>
      </c>
      <c r="F324" s="7">
        <v>5</v>
      </c>
      <c r="G324" s="7">
        <v>5</v>
      </c>
      <c r="H324" s="7">
        <v>5</v>
      </c>
      <c r="I324" s="7">
        <v>5</v>
      </c>
      <c r="J324" s="8">
        <v>5</v>
      </c>
    </row>
    <row r="325" spans="1:10" hidden="1" x14ac:dyDescent="0.25">
      <c r="A325" s="6">
        <v>506068</v>
      </c>
      <c r="B325" s="7">
        <v>1</v>
      </c>
      <c r="C325" s="7">
        <v>408.55338306930901</v>
      </c>
      <c r="D325" s="7">
        <v>3</v>
      </c>
      <c r="E325" s="1">
        <v>3</v>
      </c>
      <c r="F325" s="7">
        <v>5</v>
      </c>
      <c r="G325" s="7">
        <v>5</v>
      </c>
      <c r="H325" s="7">
        <v>5</v>
      </c>
      <c r="I325" s="7">
        <v>5</v>
      </c>
      <c r="J325" s="8">
        <v>5</v>
      </c>
    </row>
    <row r="326" spans="1:10" hidden="1" x14ac:dyDescent="0.25">
      <c r="A326" s="6">
        <v>506104</v>
      </c>
      <c r="B326" s="7">
        <v>1</v>
      </c>
      <c r="C326" s="7">
        <v>585.99034015654195</v>
      </c>
      <c r="D326" s="7">
        <v>7</v>
      </c>
      <c r="E326" s="1">
        <v>7</v>
      </c>
      <c r="F326" s="7">
        <v>5</v>
      </c>
      <c r="G326" s="7">
        <v>5</v>
      </c>
      <c r="H326" s="7">
        <v>5</v>
      </c>
      <c r="I326" s="7">
        <v>5</v>
      </c>
      <c r="J326" s="8">
        <v>5</v>
      </c>
    </row>
    <row r="327" spans="1:10" hidden="1" x14ac:dyDescent="0.25">
      <c r="A327" s="6">
        <v>506121</v>
      </c>
      <c r="B327" s="7">
        <v>1</v>
      </c>
      <c r="C327" s="7">
        <v>175.863103570676</v>
      </c>
      <c r="D327" s="7">
        <v>5</v>
      </c>
      <c r="E327" s="1">
        <v>5</v>
      </c>
      <c r="F327" s="7">
        <v>5</v>
      </c>
      <c r="G327" s="7">
        <v>5</v>
      </c>
      <c r="H327" s="7">
        <v>5</v>
      </c>
      <c r="I327" s="7">
        <v>5</v>
      </c>
      <c r="J327" s="8">
        <v>5</v>
      </c>
    </row>
    <row r="328" spans="1:10" hidden="1" x14ac:dyDescent="0.25">
      <c r="A328" s="6">
        <v>506128</v>
      </c>
      <c r="B328" s="7">
        <v>2</v>
      </c>
      <c r="C328" s="7">
        <v>446.17336547735403</v>
      </c>
      <c r="D328" s="7">
        <v>5</v>
      </c>
      <c r="E328" s="1">
        <v>5</v>
      </c>
      <c r="F328" s="7">
        <v>5</v>
      </c>
      <c r="G328" s="7">
        <v>5</v>
      </c>
      <c r="H328" s="7">
        <v>5</v>
      </c>
      <c r="I328" s="7">
        <v>5</v>
      </c>
      <c r="J328" s="8">
        <v>5</v>
      </c>
    </row>
    <row r="329" spans="1:10" hidden="1" x14ac:dyDescent="0.25">
      <c r="A329" s="6">
        <v>506170</v>
      </c>
      <c r="B329" s="7">
        <v>2</v>
      </c>
      <c r="C329" s="7">
        <v>441.63364046003301</v>
      </c>
      <c r="D329" s="7">
        <v>7</v>
      </c>
      <c r="E329" s="1">
        <v>7</v>
      </c>
      <c r="F329" s="7">
        <v>5</v>
      </c>
      <c r="G329" s="7">
        <v>5</v>
      </c>
      <c r="H329" s="7">
        <v>5</v>
      </c>
      <c r="I329" s="7">
        <v>5</v>
      </c>
      <c r="J329" s="8">
        <v>5</v>
      </c>
    </row>
    <row r="330" spans="1:10" hidden="1" x14ac:dyDescent="0.25">
      <c r="A330" s="6">
        <v>506210</v>
      </c>
      <c r="B330" s="7">
        <v>1</v>
      </c>
      <c r="C330" s="7">
        <v>568.14296444011495</v>
      </c>
      <c r="D330" s="7">
        <v>2</v>
      </c>
      <c r="E330" s="1">
        <v>5</v>
      </c>
      <c r="F330" s="7">
        <v>5</v>
      </c>
      <c r="G330" s="7">
        <v>5</v>
      </c>
      <c r="H330" s="7">
        <v>5</v>
      </c>
      <c r="I330" s="7">
        <v>5</v>
      </c>
      <c r="J330" s="8">
        <v>5</v>
      </c>
    </row>
    <row r="331" spans="1:10" hidden="1" x14ac:dyDescent="0.25">
      <c r="A331" s="6">
        <v>506219</v>
      </c>
      <c r="B331" s="7">
        <v>1</v>
      </c>
      <c r="C331" s="7">
        <v>837.40353032553503</v>
      </c>
      <c r="D331" s="7">
        <v>5</v>
      </c>
      <c r="E331" s="1">
        <v>5</v>
      </c>
      <c r="F331" s="7">
        <v>5</v>
      </c>
      <c r="G331" s="7">
        <v>5</v>
      </c>
      <c r="H331" s="7">
        <v>5</v>
      </c>
      <c r="I331" s="7">
        <v>5</v>
      </c>
      <c r="J331" s="8">
        <v>5</v>
      </c>
    </row>
    <row r="332" spans="1:10" hidden="1" x14ac:dyDescent="0.25">
      <c r="A332" s="6">
        <v>506272</v>
      </c>
      <c r="B332" s="7">
        <v>1</v>
      </c>
      <c r="C332" s="7">
        <v>767.46115669114897</v>
      </c>
      <c r="D332" s="7">
        <v>2</v>
      </c>
      <c r="E332" s="1">
        <v>5</v>
      </c>
      <c r="F332" s="7">
        <v>5</v>
      </c>
      <c r="G332" s="7">
        <v>5</v>
      </c>
      <c r="H332" s="7">
        <v>5</v>
      </c>
      <c r="I332" s="7">
        <v>5</v>
      </c>
      <c r="J332" s="8">
        <v>5</v>
      </c>
    </row>
    <row r="333" spans="1:10" hidden="1" x14ac:dyDescent="0.25">
      <c r="A333" s="6">
        <v>506276</v>
      </c>
      <c r="B333" s="7">
        <v>1</v>
      </c>
      <c r="C333" s="7">
        <v>455.21693538420902</v>
      </c>
      <c r="D333" s="7">
        <v>4</v>
      </c>
      <c r="E333" s="1">
        <v>4</v>
      </c>
      <c r="F333" s="7">
        <v>5</v>
      </c>
      <c r="G333" s="7">
        <v>5</v>
      </c>
      <c r="H333" s="7">
        <v>5</v>
      </c>
      <c r="I333" s="7">
        <v>5</v>
      </c>
      <c r="J333" s="8">
        <v>5</v>
      </c>
    </row>
    <row r="334" spans="1:10" hidden="1" x14ac:dyDescent="0.25">
      <c r="A334" s="6">
        <v>506287</v>
      </c>
      <c r="B334" s="7">
        <v>2</v>
      </c>
      <c r="C334" s="7">
        <v>215.992539561543</v>
      </c>
      <c r="D334" s="7">
        <v>7</v>
      </c>
      <c r="E334" s="1">
        <v>7</v>
      </c>
      <c r="F334" s="7">
        <v>5</v>
      </c>
      <c r="G334" s="7">
        <v>5</v>
      </c>
      <c r="H334" s="7">
        <v>5</v>
      </c>
      <c r="I334" s="7">
        <v>5</v>
      </c>
      <c r="J334" s="8">
        <v>5</v>
      </c>
    </row>
    <row r="335" spans="1:10" hidden="1" x14ac:dyDescent="0.25">
      <c r="A335" s="6">
        <v>506289</v>
      </c>
      <c r="B335" s="7">
        <v>2</v>
      </c>
      <c r="C335" s="7">
        <v>404.88155758636401</v>
      </c>
      <c r="D335" s="7">
        <v>7</v>
      </c>
      <c r="E335" s="1">
        <v>7</v>
      </c>
      <c r="F335" s="7">
        <v>5</v>
      </c>
      <c r="G335" s="7">
        <v>5</v>
      </c>
      <c r="H335" s="7">
        <v>5</v>
      </c>
      <c r="I335" s="7">
        <v>5</v>
      </c>
      <c r="J335" s="8">
        <v>5</v>
      </c>
    </row>
    <row r="336" spans="1:10" hidden="1" x14ac:dyDescent="0.25">
      <c r="A336" s="6">
        <v>506302</v>
      </c>
      <c r="B336" s="7">
        <v>1</v>
      </c>
      <c r="C336" s="7">
        <v>248.48751901811499</v>
      </c>
      <c r="D336" s="7">
        <v>2</v>
      </c>
      <c r="E336" s="1">
        <v>5</v>
      </c>
      <c r="F336" s="7">
        <v>5</v>
      </c>
      <c r="G336" s="7">
        <v>5</v>
      </c>
      <c r="H336" s="7">
        <v>5</v>
      </c>
      <c r="I336" s="7">
        <v>5</v>
      </c>
      <c r="J336" s="8">
        <v>5</v>
      </c>
    </row>
    <row r="337" spans="1:10" hidden="1" x14ac:dyDescent="0.25">
      <c r="A337" s="6">
        <v>506307</v>
      </c>
      <c r="B337" s="7">
        <v>1</v>
      </c>
      <c r="C337" s="7">
        <v>717.84901522757696</v>
      </c>
      <c r="D337" s="7">
        <v>7</v>
      </c>
      <c r="E337" s="1">
        <v>7</v>
      </c>
      <c r="F337" s="7">
        <v>5</v>
      </c>
      <c r="G337" s="7">
        <v>5</v>
      </c>
      <c r="H337" s="7">
        <v>5</v>
      </c>
      <c r="I337" s="7">
        <v>5</v>
      </c>
      <c r="J337" s="8">
        <v>5</v>
      </c>
    </row>
    <row r="338" spans="1:10" hidden="1" x14ac:dyDescent="0.25">
      <c r="A338" s="6">
        <v>506342</v>
      </c>
      <c r="B338" s="7">
        <v>1</v>
      </c>
      <c r="C338" s="7">
        <v>1128.53801344454</v>
      </c>
      <c r="D338" s="7">
        <v>2</v>
      </c>
      <c r="E338" s="1">
        <v>4</v>
      </c>
      <c r="F338" s="7">
        <v>5</v>
      </c>
      <c r="G338" s="7">
        <v>5</v>
      </c>
      <c r="H338" s="7">
        <v>5</v>
      </c>
      <c r="I338" s="7">
        <v>5</v>
      </c>
      <c r="J338" s="8">
        <v>5</v>
      </c>
    </row>
    <row r="339" spans="1:10" hidden="1" x14ac:dyDescent="0.25">
      <c r="A339" s="6">
        <v>506401</v>
      </c>
      <c r="B339" s="7">
        <v>1</v>
      </c>
      <c r="C339" s="7">
        <v>642.52504453888002</v>
      </c>
      <c r="D339" s="7">
        <v>4</v>
      </c>
      <c r="E339" s="1">
        <v>4</v>
      </c>
      <c r="F339" s="7">
        <v>5</v>
      </c>
      <c r="G339" s="7">
        <v>5</v>
      </c>
      <c r="H339" s="7">
        <v>5</v>
      </c>
      <c r="I339" s="7">
        <v>5</v>
      </c>
      <c r="J339" s="8">
        <v>5</v>
      </c>
    </row>
    <row r="340" spans="1:10" hidden="1" x14ac:dyDescent="0.25">
      <c r="A340" s="6">
        <v>506442</v>
      </c>
      <c r="B340" s="7">
        <v>1</v>
      </c>
      <c r="C340" s="7">
        <v>715.11765203841401</v>
      </c>
      <c r="D340" s="7">
        <v>4</v>
      </c>
      <c r="E340" s="1">
        <v>4</v>
      </c>
      <c r="F340" s="7">
        <v>5</v>
      </c>
      <c r="G340" s="7">
        <v>5</v>
      </c>
      <c r="H340" s="7">
        <v>5</v>
      </c>
      <c r="I340" s="7">
        <v>5</v>
      </c>
      <c r="J340" s="8">
        <v>5</v>
      </c>
    </row>
    <row r="341" spans="1:10" x14ac:dyDescent="0.25">
      <c r="A341" s="6">
        <v>506447</v>
      </c>
      <c r="B341" s="7">
        <v>2</v>
      </c>
      <c r="C341" s="7">
        <v>747.86242127481501</v>
      </c>
      <c r="D341" s="7">
        <v>8</v>
      </c>
      <c r="E341" s="1">
        <v>6</v>
      </c>
      <c r="F341" s="7">
        <v>5</v>
      </c>
      <c r="G341" s="7">
        <v>5</v>
      </c>
      <c r="H341" s="7">
        <v>5</v>
      </c>
      <c r="I341" s="7">
        <v>5</v>
      </c>
      <c r="J341" s="8">
        <v>5</v>
      </c>
    </row>
    <row r="342" spans="1:10" hidden="1" x14ac:dyDescent="0.25">
      <c r="A342" s="6">
        <v>506482</v>
      </c>
      <c r="B342" s="7">
        <v>1</v>
      </c>
      <c r="C342" s="7">
        <v>1245.8816202806699</v>
      </c>
      <c r="D342" s="7">
        <v>2</v>
      </c>
      <c r="E342" s="1">
        <v>4</v>
      </c>
      <c r="F342" s="7">
        <v>5</v>
      </c>
      <c r="G342" s="7">
        <v>5</v>
      </c>
      <c r="H342" s="7">
        <v>5</v>
      </c>
      <c r="I342" s="7">
        <v>5</v>
      </c>
      <c r="J342" s="8">
        <v>5</v>
      </c>
    </row>
    <row r="343" spans="1:10" hidden="1" x14ac:dyDescent="0.25">
      <c r="A343" s="6">
        <v>506490</v>
      </c>
      <c r="B343" s="7">
        <v>2</v>
      </c>
      <c r="C343" s="7">
        <v>1329.3473430317599</v>
      </c>
      <c r="D343" s="7">
        <v>7</v>
      </c>
      <c r="E343" s="1">
        <v>7</v>
      </c>
      <c r="F343" s="7">
        <v>5</v>
      </c>
      <c r="G343" s="7">
        <v>5</v>
      </c>
      <c r="H343" s="7">
        <v>5</v>
      </c>
      <c r="I343" s="7">
        <v>5</v>
      </c>
      <c r="J343" s="8">
        <v>5</v>
      </c>
    </row>
    <row r="344" spans="1:10" x14ac:dyDescent="0.25">
      <c r="A344" s="6">
        <v>506492</v>
      </c>
      <c r="B344" s="7">
        <v>2</v>
      </c>
      <c r="C344" s="7">
        <v>570.66568468706305</v>
      </c>
      <c r="D344" s="7">
        <v>8</v>
      </c>
      <c r="E344" s="1">
        <v>8</v>
      </c>
      <c r="F344" s="7">
        <v>5</v>
      </c>
      <c r="G344" s="7">
        <v>5</v>
      </c>
      <c r="H344" s="7">
        <v>5</v>
      </c>
      <c r="I344" s="7">
        <v>5</v>
      </c>
      <c r="J344" s="8">
        <v>5</v>
      </c>
    </row>
    <row r="345" spans="1:10" hidden="1" x14ac:dyDescent="0.25">
      <c r="A345" s="6">
        <v>506493</v>
      </c>
      <c r="B345" s="7">
        <v>2</v>
      </c>
      <c r="C345" s="7">
        <v>196.580710400935</v>
      </c>
      <c r="D345" s="7">
        <v>7</v>
      </c>
      <c r="E345" s="1">
        <v>7</v>
      </c>
      <c r="F345" s="7">
        <v>5</v>
      </c>
      <c r="G345" s="7">
        <v>5</v>
      </c>
      <c r="H345" s="7">
        <v>5</v>
      </c>
      <c r="I345" s="7">
        <v>5</v>
      </c>
      <c r="J345" s="8">
        <v>5</v>
      </c>
    </row>
    <row r="346" spans="1:10" hidden="1" x14ac:dyDescent="0.25">
      <c r="A346" s="6">
        <v>506560</v>
      </c>
      <c r="B346" s="7">
        <v>1</v>
      </c>
      <c r="C346" s="7">
        <v>1621.3032556210901</v>
      </c>
      <c r="D346" s="7">
        <v>2</v>
      </c>
      <c r="E346" s="1">
        <v>4</v>
      </c>
      <c r="F346" s="7">
        <v>5</v>
      </c>
      <c r="G346" s="7">
        <v>5</v>
      </c>
      <c r="H346" s="7">
        <v>5</v>
      </c>
      <c r="I346" s="7">
        <v>5</v>
      </c>
      <c r="J346" s="8">
        <v>5</v>
      </c>
    </row>
    <row r="347" spans="1:10" hidden="1" x14ac:dyDescent="0.25">
      <c r="A347" s="6">
        <v>506596</v>
      </c>
      <c r="B347" s="7">
        <v>1</v>
      </c>
      <c r="C347" s="7">
        <v>590.37103374069204</v>
      </c>
      <c r="D347" s="7">
        <v>7</v>
      </c>
      <c r="E347" s="1">
        <v>7</v>
      </c>
      <c r="F347" s="7">
        <v>5</v>
      </c>
      <c r="G347" s="7">
        <v>5</v>
      </c>
      <c r="H347" s="7">
        <v>5</v>
      </c>
      <c r="I347" s="7">
        <v>5</v>
      </c>
      <c r="J347" s="8">
        <v>5</v>
      </c>
    </row>
    <row r="348" spans="1:10" x14ac:dyDescent="0.25">
      <c r="A348" s="6">
        <v>506640</v>
      </c>
      <c r="B348" s="7">
        <v>1</v>
      </c>
      <c r="C348" s="7">
        <v>572.53685922140596</v>
      </c>
      <c r="D348" s="7">
        <v>8</v>
      </c>
      <c r="E348" s="1">
        <v>6</v>
      </c>
      <c r="F348" s="7">
        <v>5</v>
      </c>
      <c r="G348" s="7">
        <v>1</v>
      </c>
      <c r="H348" s="7">
        <v>1</v>
      </c>
      <c r="I348" s="7">
        <v>5</v>
      </c>
      <c r="J348" s="8">
        <v>5</v>
      </c>
    </row>
    <row r="349" spans="1:10" hidden="1" x14ac:dyDescent="0.25">
      <c r="A349" s="6">
        <v>506678</v>
      </c>
      <c r="B349" s="7">
        <v>1</v>
      </c>
      <c r="C349" s="7">
        <v>562.60364431380901</v>
      </c>
      <c r="D349" s="7">
        <v>3</v>
      </c>
      <c r="E349" s="1">
        <v>3</v>
      </c>
      <c r="F349" s="7">
        <v>5</v>
      </c>
      <c r="G349" s="7">
        <v>5</v>
      </c>
      <c r="H349" s="7">
        <v>5</v>
      </c>
      <c r="I349" s="7">
        <v>5</v>
      </c>
      <c r="J349" s="8">
        <v>5</v>
      </c>
    </row>
    <row r="350" spans="1:10" hidden="1" x14ac:dyDescent="0.25">
      <c r="A350" s="6">
        <v>506685</v>
      </c>
      <c r="B350" s="7">
        <v>2</v>
      </c>
      <c r="C350" s="7">
        <v>778.66240514211495</v>
      </c>
      <c r="D350" s="7">
        <v>5</v>
      </c>
      <c r="E350" s="1">
        <v>4</v>
      </c>
      <c r="F350" s="7">
        <v>5</v>
      </c>
      <c r="G350" s="7">
        <v>5</v>
      </c>
      <c r="H350" s="7">
        <v>5</v>
      </c>
      <c r="I350" s="7">
        <v>5</v>
      </c>
      <c r="J350" s="8">
        <v>5</v>
      </c>
    </row>
    <row r="351" spans="1:10" hidden="1" x14ac:dyDescent="0.25">
      <c r="A351" s="6">
        <v>506690</v>
      </c>
      <c r="B351" s="7">
        <v>1</v>
      </c>
      <c r="C351" s="7">
        <v>1149.1400170854099</v>
      </c>
      <c r="D351" s="7">
        <v>2</v>
      </c>
      <c r="E351" s="1">
        <v>5</v>
      </c>
      <c r="F351" s="7">
        <v>5</v>
      </c>
      <c r="G351" s="7">
        <v>5</v>
      </c>
      <c r="H351" s="7">
        <v>5</v>
      </c>
      <c r="I351" s="7">
        <v>5</v>
      </c>
      <c r="J351" s="8">
        <v>5</v>
      </c>
    </row>
    <row r="352" spans="1:10" hidden="1" x14ac:dyDescent="0.25">
      <c r="A352" s="6">
        <v>506762</v>
      </c>
      <c r="B352" s="7">
        <v>2</v>
      </c>
      <c r="C352" s="7">
        <v>503.47427623053801</v>
      </c>
      <c r="D352" s="7">
        <v>7</v>
      </c>
      <c r="E352" s="1">
        <v>7</v>
      </c>
      <c r="F352" s="7">
        <v>5</v>
      </c>
      <c r="G352" s="7">
        <v>5</v>
      </c>
      <c r="H352" s="7">
        <v>5</v>
      </c>
      <c r="I352" s="7">
        <v>5</v>
      </c>
      <c r="J352" s="8">
        <v>5</v>
      </c>
    </row>
    <row r="353" spans="1:10" hidden="1" x14ac:dyDescent="0.25">
      <c r="A353" s="6">
        <v>506800</v>
      </c>
      <c r="B353" s="7">
        <v>1</v>
      </c>
      <c r="C353" s="7">
        <v>572.65864994847004</v>
      </c>
      <c r="D353" s="7">
        <v>2</v>
      </c>
      <c r="E353" s="1">
        <v>5</v>
      </c>
      <c r="F353" s="7">
        <v>5</v>
      </c>
      <c r="G353" s="7">
        <v>5</v>
      </c>
      <c r="H353" s="7">
        <v>5</v>
      </c>
      <c r="I353" s="7">
        <v>5</v>
      </c>
      <c r="J353" s="8">
        <v>5</v>
      </c>
    </row>
    <row r="354" spans="1:10" hidden="1" x14ac:dyDescent="0.25">
      <c r="A354" s="6">
        <v>506844</v>
      </c>
      <c r="B354" s="7">
        <v>1</v>
      </c>
      <c r="C354" s="7">
        <v>650.01447001215297</v>
      </c>
      <c r="D354" s="7">
        <v>5</v>
      </c>
      <c r="E354" s="1">
        <v>5</v>
      </c>
      <c r="F354" s="7">
        <v>5</v>
      </c>
      <c r="G354" s="7">
        <v>5</v>
      </c>
      <c r="H354" s="7">
        <v>5</v>
      </c>
      <c r="I354" s="7">
        <v>5</v>
      </c>
      <c r="J354" s="8">
        <v>5</v>
      </c>
    </row>
    <row r="355" spans="1:10" hidden="1" x14ac:dyDescent="0.25">
      <c r="A355" s="6">
        <v>506907</v>
      </c>
      <c r="B355" s="7">
        <v>1</v>
      </c>
      <c r="C355" s="7">
        <v>1649.62653889377</v>
      </c>
      <c r="D355" s="7">
        <v>7</v>
      </c>
      <c r="E355" s="1">
        <v>7</v>
      </c>
      <c r="F355" s="7">
        <v>5</v>
      </c>
      <c r="G355" s="7">
        <v>5</v>
      </c>
      <c r="H355" s="7">
        <v>5</v>
      </c>
      <c r="I355" s="7">
        <v>5</v>
      </c>
      <c r="J355" s="8">
        <v>5</v>
      </c>
    </row>
    <row r="356" spans="1:10" hidden="1" x14ac:dyDescent="0.25">
      <c r="A356" s="6">
        <v>506909</v>
      </c>
      <c r="B356" s="7">
        <v>2</v>
      </c>
      <c r="C356" s="7">
        <v>142.552098847248</v>
      </c>
      <c r="D356" s="7">
        <v>7</v>
      </c>
      <c r="E356" s="1">
        <v>7</v>
      </c>
      <c r="F356" s="7">
        <v>5</v>
      </c>
      <c r="G356" s="7">
        <v>5</v>
      </c>
      <c r="H356" s="7">
        <v>5</v>
      </c>
      <c r="I356" s="7">
        <v>5</v>
      </c>
      <c r="J356" s="8">
        <v>5</v>
      </c>
    </row>
    <row r="357" spans="1:10" x14ac:dyDescent="0.25">
      <c r="A357" s="6">
        <v>506910</v>
      </c>
      <c r="B357" s="7">
        <v>2</v>
      </c>
      <c r="C357" s="7">
        <v>903.25981479592997</v>
      </c>
      <c r="D357" s="7">
        <v>6</v>
      </c>
      <c r="E357" s="1">
        <v>5</v>
      </c>
      <c r="F357" s="7">
        <v>5</v>
      </c>
      <c r="G357" s="7">
        <v>5</v>
      </c>
      <c r="H357" s="7">
        <v>5</v>
      </c>
      <c r="I357" s="7">
        <v>5</v>
      </c>
      <c r="J357" s="8">
        <v>5</v>
      </c>
    </row>
    <row r="358" spans="1:10" hidden="1" x14ac:dyDescent="0.25">
      <c r="A358" s="6">
        <v>506916</v>
      </c>
      <c r="B358" s="7">
        <v>2</v>
      </c>
      <c r="C358" s="7">
        <v>475.482384847844</v>
      </c>
      <c r="D358" s="7">
        <v>5</v>
      </c>
      <c r="E358" s="1">
        <v>7</v>
      </c>
      <c r="F358" s="7">
        <v>5</v>
      </c>
      <c r="G358" s="7">
        <v>5</v>
      </c>
      <c r="H358" s="7">
        <v>5</v>
      </c>
      <c r="I358" s="7">
        <v>5</v>
      </c>
      <c r="J358" s="8">
        <v>5</v>
      </c>
    </row>
    <row r="359" spans="1:10" x14ac:dyDescent="0.25">
      <c r="A359" s="6">
        <v>506938</v>
      </c>
      <c r="B359" s="7">
        <v>2</v>
      </c>
      <c r="C359" s="7">
        <v>776.83308440629605</v>
      </c>
      <c r="D359" s="7">
        <v>8</v>
      </c>
      <c r="E359" s="1">
        <v>8</v>
      </c>
      <c r="F359" s="7">
        <v>5</v>
      </c>
      <c r="G359" s="7">
        <v>5</v>
      </c>
      <c r="H359" s="7">
        <v>5</v>
      </c>
      <c r="I359" s="7">
        <v>5</v>
      </c>
      <c r="J359" s="8">
        <v>5</v>
      </c>
    </row>
    <row r="360" spans="1:10" hidden="1" x14ac:dyDescent="0.25">
      <c r="A360" s="6">
        <v>507091</v>
      </c>
      <c r="B360" s="7">
        <v>1</v>
      </c>
      <c r="C360" s="7">
        <v>518.22117644057903</v>
      </c>
      <c r="D360" s="7">
        <v>5</v>
      </c>
      <c r="E360" s="1">
        <v>5</v>
      </c>
      <c r="F360" s="7">
        <v>5</v>
      </c>
      <c r="G360" s="7">
        <v>5</v>
      </c>
      <c r="H360" s="7">
        <v>5</v>
      </c>
      <c r="I360" s="7">
        <v>5</v>
      </c>
      <c r="J360" s="8">
        <v>5</v>
      </c>
    </row>
    <row r="361" spans="1:10" hidden="1" x14ac:dyDescent="0.25">
      <c r="A361" s="6">
        <v>507097</v>
      </c>
      <c r="B361" s="7">
        <v>2</v>
      </c>
      <c r="C361" s="7">
        <v>2047.69838344236</v>
      </c>
      <c r="D361" s="7">
        <v>7</v>
      </c>
      <c r="E361" s="1">
        <v>7</v>
      </c>
      <c r="F361" s="7">
        <v>5</v>
      </c>
      <c r="G361" s="7">
        <v>5</v>
      </c>
      <c r="H361" s="7">
        <v>5</v>
      </c>
      <c r="I361" s="7">
        <v>5</v>
      </c>
      <c r="J361" s="8">
        <v>5</v>
      </c>
    </row>
    <row r="362" spans="1:10" x14ac:dyDescent="0.25">
      <c r="A362" s="6">
        <v>507148</v>
      </c>
      <c r="B362" s="7">
        <v>2</v>
      </c>
      <c r="C362" s="7">
        <v>408.26594079071401</v>
      </c>
      <c r="D362" s="7">
        <v>6</v>
      </c>
      <c r="E362" s="1">
        <v>5</v>
      </c>
      <c r="F362" s="7">
        <v>5</v>
      </c>
      <c r="G362" s="7">
        <v>5</v>
      </c>
      <c r="H362" s="7">
        <v>5</v>
      </c>
      <c r="I362" s="7">
        <v>5</v>
      </c>
      <c r="J362" s="8">
        <v>5</v>
      </c>
    </row>
    <row r="363" spans="1:10" hidden="1" x14ac:dyDescent="0.25">
      <c r="A363" s="6">
        <v>507227</v>
      </c>
      <c r="B363" s="7">
        <v>2</v>
      </c>
      <c r="C363" s="7">
        <v>177.54965676251001</v>
      </c>
      <c r="D363" s="7">
        <v>4</v>
      </c>
      <c r="E363" s="1">
        <v>5</v>
      </c>
      <c r="F363" s="7">
        <v>5</v>
      </c>
      <c r="G363" s="7">
        <v>5</v>
      </c>
      <c r="H363" s="7">
        <v>5</v>
      </c>
      <c r="I363" s="7">
        <v>5</v>
      </c>
      <c r="J363" s="8">
        <v>5</v>
      </c>
    </row>
    <row r="364" spans="1:10" hidden="1" x14ac:dyDescent="0.25">
      <c r="A364" s="6">
        <v>507293</v>
      </c>
      <c r="B364" s="7">
        <v>2</v>
      </c>
      <c r="C364" s="7">
        <v>1268.93205922484</v>
      </c>
      <c r="D364" s="7">
        <v>5</v>
      </c>
      <c r="E364" s="1">
        <v>5</v>
      </c>
      <c r="F364" s="7">
        <v>5</v>
      </c>
      <c r="G364" s="7">
        <v>5</v>
      </c>
      <c r="H364" s="7">
        <v>5</v>
      </c>
      <c r="I364" s="7">
        <v>5</v>
      </c>
      <c r="J364" s="8">
        <v>5</v>
      </c>
    </row>
    <row r="365" spans="1:10" hidden="1" x14ac:dyDescent="0.25">
      <c r="A365" s="6">
        <v>507305</v>
      </c>
      <c r="B365" s="7">
        <v>2</v>
      </c>
      <c r="C365" s="7">
        <v>139.497577622188</v>
      </c>
      <c r="D365" s="7">
        <v>7</v>
      </c>
      <c r="E365" s="1">
        <v>7</v>
      </c>
      <c r="F365" s="7">
        <v>5</v>
      </c>
      <c r="G365" s="7">
        <v>5</v>
      </c>
      <c r="H365" s="7">
        <v>5</v>
      </c>
      <c r="I365" s="7">
        <v>5</v>
      </c>
      <c r="J365" s="8">
        <v>5</v>
      </c>
    </row>
    <row r="366" spans="1:10" hidden="1" x14ac:dyDescent="0.25">
      <c r="A366" s="6">
        <v>507316</v>
      </c>
      <c r="B366" s="7">
        <v>2</v>
      </c>
      <c r="C366" s="7">
        <v>25.615953431513201</v>
      </c>
      <c r="D366" s="7">
        <v>2</v>
      </c>
      <c r="E366" s="1">
        <v>7</v>
      </c>
      <c r="F366" s="7">
        <v>5</v>
      </c>
      <c r="G366" s="7">
        <v>5</v>
      </c>
      <c r="H366" s="7">
        <v>5</v>
      </c>
      <c r="I366" s="7">
        <v>5</v>
      </c>
      <c r="J366" s="8">
        <v>5</v>
      </c>
    </row>
    <row r="367" spans="1:10" hidden="1" x14ac:dyDescent="0.25">
      <c r="A367" s="6">
        <v>507341</v>
      </c>
      <c r="B367" s="7">
        <v>1</v>
      </c>
      <c r="C367" s="7">
        <v>605.42959115962606</v>
      </c>
      <c r="D367" s="7">
        <v>5</v>
      </c>
      <c r="E367" s="1">
        <v>8</v>
      </c>
      <c r="F367" s="7">
        <v>5</v>
      </c>
      <c r="G367" s="7">
        <v>5</v>
      </c>
      <c r="H367" s="7">
        <v>5</v>
      </c>
      <c r="I367" s="7">
        <v>5</v>
      </c>
      <c r="J367" s="8">
        <v>5</v>
      </c>
    </row>
    <row r="368" spans="1:10" hidden="1" x14ac:dyDescent="0.25">
      <c r="A368" s="6">
        <v>507353</v>
      </c>
      <c r="B368" s="7">
        <v>1</v>
      </c>
      <c r="C368" s="7">
        <v>907.70219608981301</v>
      </c>
      <c r="D368" s="7">
        <v>1</v>
      </c>
      <c r="E368" s="1">
        <v>4</v>
      </c>
      <c r="F368" s="7">
        <v>5</v>
      </c>
      <c r="G368" s="7">
        <v>5</v>
      </c>
      <c r="H368" s="7">
        <v>5</v>
      </c>
      <c r="I368" s="7">
        <v>5</v>
      </c>
      <c r="J368" s="8">
        <v>5</v>
      </c>
    </row>
    <row r="369" spans="1:10" hidden="1" x14ac:dyDescent="0.25">
      <c r="A369" s="6">
        <v>507402</v>
      </c>
      <c r="B369" s="7">
        <v>1</v>
      </c>
      <c r="C369" s="7">
        <v>150.997832010005</v>
      </c>
      <c r="D369" s="7">
        <v>2</v>
      </c>
      <c r="E369" s="1">
        <v>3</v>
      </c>
      <c r="F369" s="7">
        <v>5</v>
      </c>
      <c r="G369" s="7">
        <v>5</v>
      </c>
      <c r="H369" s="7">
        <v>5</v>
      </c>
      <c r="I369" s="7">
        <v>5</v>
      </c>
      <c r="J369" s="8">
        <v>5</v>
      </c>
    </row>
    <row r="370" spans="1:10" hidden="1" x14ac:dyDescent="0.25">
      <c r="A370" s="6">
        <v>507427</v>
      </c>
      <c r="B370" s="7">
        <v>1</v>
      </c>
      <c r="C370" s="7">
        <v>931.96033623870801</v>
      </c>
      <c r="D370" s="7">
        <v>5</v>
      </c>
      <c r="E370" s="1">
        <v>5</v>
      </c>
      <c r="F370" s="7">
        <v>5</v>
      </c>
      <c r="G370" s="7">
        <v>5</v>
      </c>
      <c r="H370" s="7">
        <v>5</v>
      </c>
      <c r="I370" s="7">
        <v>5</v>
      </c>
      <c r="J370" s="8">
        <v>5</v>
      </c>
    </row>
    <row r="371" spans="1:10" hidden="1" x14ac:dyDescent="0.25">
      <c r="A371" s="6">
        <v>507441</v>
      </c>
      <c r="B371" s="7">
        <v>1</v>
      </c>
      <c r="C371" s="7">
        <v>447.673411252807</v>
      </c>
      <c r="D371" s="7">
        <v>2</v>
      </c>
      <c r="E371" s="1">
        <v>4</v>
      </c>
      <c r="F371" s="7">
        <v>5</v>
      </c>
      <c r="G371" s="7">
        <v>5</v>
      </c>
      <c r="H371" s="7">
        <v>5</v>
      </c>
      <c r="I371" s="7">
        <v>5</v>
      </c>
      <c r="J371" s="8">
        <v>5</v>
      </c>
    </row>
    <row r="372" spans="1:10" x14ac:dyDescent="0.25">
      <c r="A372" s="6">
        <v>507480</v>
      </c>
      <c r="B372" s="7">
        <v>2</v>
      </c>
      <c r="C372" s="7">
        <v>426.57190638195601</v>
      </c>
      <c r="D372" s="7">
        <v>6</v>
      </c>
      <c r="E372" s="1">
        <v>6</v>
      </c>
      <c r="F372" s="7">
        <v>5</v>
      </c>
      <c r="G372" s="7">
        <v>5</v>
      </c>
      <c r="H372" s="7">
        <v>5</v>
      </c>
      <c r="I372" s="7">
        <v>5</v>
      </c>
      <c r="J372" s="8">
        <v>5</v>
      </c>
    </row>
    <row r="373" spans="1:10" hidden="1" x14ac:dyDescent="0.25">
      <c r="A373" s="6">
        <v>507546</v>
      </c>
      <c r="B373" s="7">
        <v>1</v>
      </c>
      <c r="C373" s="7">
        <v>2130.6040466656</v>
      </c>
      <c r="D373" s="7">
        <v>5</v>
      </c>
      <c r="E373" s="1">
        <v>5</v>
      </c>
      <c r="F373" s="7">
        <v>5</v>
      </c>
      <c r="G373" s="7">
        <v>5</v>
      </c>
      <c r="H373" s="7">
        <v>5</v>
      </c>
      <c r="I373" s="7">
        <v>5</v>
      </c>
      <c r="J373" s="8">
        <v>5</v>
      </c>
    </row>
    <row r="374" spans="1:10" hidden="1" x14ac:dyDescent="0.25">
      <c r="A374" s="6">
        <v>507572</v>
      </c>
      <c r="B374" s="7">
        <v>2</v>
      </c>
      <c r="C374" s="7">
        <v>1397.3367433108999</v>
      </c>
      <c r="D374" s="7">
        <v>5</v>
      </c>
      <c r="E374" s="1">
        <v>5</v>
      </c>
      <c r="F374" s="7">
        <v>5</v>
      </c>
      <c r="G374" s="7">
        <v>5</v>
      </c>
      <c r="H374" s="7">
        <v>5</v>
      </c>
      <c r="I374" s="7">
        <v>5</v>
      </c>
      <c r="J374" s="8">
        <v>5</v>
      </c>
    </row>
    <row r="375" spans="1:10" hidden="1" x14ac:dyDescent="0.25">
      <c r="A375" s="6">
        <v>507596</v>
      </c>
      <c r="B375" s="7">
        <v>1</v>
      </c>
      <c r="C375" s="7">
        <v>973.89026057347303</v>
      </c>
      <c r="D375" s="7">
        <v>2</v>
      </c>
      <c r="E375" s="1">
        <v>5</v>
      </c>
      <c r="F375" s="7">
        <v>5</v>
      </c>
      <c r="G375" s="7">
        <v>5</v>
      </c>
      <c r="H375" s="7">
        <v>5</v>
      </c>
      <c r="I375" s="7">
        <v>5</v>
      </c>
      <c r="J375" s="8">
        <v>5</v>
      </c>
    </row>
    <row r="376" spans="1:10" hidden="1" x14ac:dyDescent="0.25">
      <c r="A376" s="6">
        <v>507616</v>
      </c>
      <c r="B376" s="7">
        <v>1</v>
      </c>
      <c r="C376" s="7">
        <v>561.79502603100502</v>
      </c>
      <c r="D376" s="7">
        <v>7</v>
      </c>
      <c r="E376" s="1">
        <v>7</v>
      </c>
      <c r="F376" s="7">
        <v>5</v>
      </c>
      <c r="G376" s="7">
        <v>5</v>
      </c>
      <c r="H376" s="7">
        <v>5</v>
      </c>
      <c r="I376" s="7">
        <v>5</v>
      </c>
      <c r="J376" s="8">
        <v>5</v>
      </c>
    </row>
    <row r="377" spans="1:10" hidden="1" x14ac:dyDescent="0.25">
      <c r="A377" s="6">
        <v>507631</v>
      </c>
      <c r="B377" s="7">
        <v>1</v>
      </c>
      <c r="C377" s="7">
        <v>933.03767171997401</v>
      </c>
      <c r="D377" s="7">
        <v>4</v>
      </c>
      <c r="E377" s="1">
        <v>4</v>
      </c>
      <c r="F377" s="7">
        <v>5</v>
      </c>
      <c r="G377" s="7">
        <v>5</v>
      </c>
      <c r="H377" s="7">
        <v>5</v>
      </c>
      <c r="I377" s="7">
        <v>5</v>
      </c>
      <c r="J377" s="8">
        <v>5</v>
      </c>
    </row>
    <row r="378" spans="1:10" hidden="1" x14ac:dyDescent="0.25">
      <c r="A378" s="6">
        <v>507640</v>
      </c>
      <c r="B378" s="7">
        <v>1</v>
      </c>
      <c r="C378" s="7">
        <v>1185.71589750559</v>
      </c>
      <c r="D378" s="7">
        <v>5</v>
      </c>
      <c r="E378" s="1">
        <v>5</v>
      </c>
      <c r="F378" s="7">
        <v>5</v>
      </c>
      <c r="G378" s="7">
        <v>5</v>
      </c>
      <c r="H378" s="7">
        <v>5</v>
      </c>
      <c r="I378" s="7">
        <v>5</v>
      </c>
      <c r="J378" s="8">
        <v>5</v>
      </c>
    </row>
    <row r="379" spans="1:10" hidden="1" x14ac:dyDescent="0.25">
      <c r="A379" s="6">
        <v>507642</v>
      </c>
      <c r="B379" s="7">
        <v>2</v>
      </c>
      <c r="C379" s="7">
        <v>132.14829012805501</v>
      </c>
      <c r="D379" s="7">
        <v>5</v>
      </c>
      <c r="E379" s="1">
        <v>5</v>
      </c>
      <c r="F379" s="7">
        <v>5</v>
      </c>
      <c r="G379" s="7">
        <v>5</v>
      </c>
      <c r="H379" s="7">
        <v>5</v>
      </c>
      <c r="I379" s="7">
        <v>5</v>
      </c>
      <c r="J379" s="8">
        <v>5</v>
      </c>
    </row>
    <row r="380" spans="1:10" hidden="1" x14ac:dyDescent="0.25">
      <c r="A380" s="6">
        <v>507651</v>
      </c>
      <c r="B380" s="7">
        <v>1</v>
      </c>
      <c r="C380" s="7">
        <v>705.16602549160905</v>
      </c>
      <c r="D380" s="7">
        <v>5</v>
      </c>
      <c r="E380" s="1">
        <v>5</v>
      </c>
      <c r="F380" s="7">
        <v>5</v>
      </c>
      <c r="G380" s="7">
        <v>5</v>
      </c>
      <c r="H380" s="7">
        <v>5</v>
      </c>
      <c r="I380" s="7">
        <v>5</v>
      </c>
      <c r="J380" s="8">
        <v>5</v>
      </c>
    </row>
    <row r="381" spans="1:10" hidden="1" x14ac:dyDescent="0.25">
      <c r="A381" s="6">
        <v>507664</v>
      </c>
      <c r="B381" s="7">
        <v>1</v>
      </c>
      <c r="C381" s="7">
        <v>560.02085349783795</v>
      </c>
      <c r="D381" s="7">
        <v>2</v>
      </c>
      <c r="E381" s="1">
        <v>4</v>
      </c>
      <c r="F381" s="7">
        <v>5</v>
      </c>
      <c r="G381" s="7">
        <v>5</v>
      </c>
      <c r="H381" s="7">
        <v>5</v>
      </c>
      <c r="I381" s="7">
        <v>5</v>
      </c>
      <c r="J381" s="8">
        <v>5</v>
      </c>
    </row>
    <row r="382" spans="1:10" hidden="1" x14ac:dyDescent="0.25">
      <c r="A382" s="6">
        <v>507677</v>
      </c>
      <c r="B382" s="7">
        <v>1</v>
      </c>
      <c r="C382" s="7">
        <v>615.41762224722197</v>
      </c>
      <c r="D382" s="7">
        <v>5</v>
      </c>
      <c r="E382" s="1">
        <v>5</v>
      </c>
      <c r="F382" s="7">
        <v>5</v>
      </c>
      <c r="G382" s="7">
        <v>5</v>
      </c>
      <c r="H382" s="7">
        <v>5</v>
      </c>
      <c r="I382" s="7">
        <v>5</v>
      </c>
      <c r="J382" s="8">
        <v>5</v>
      </c>
    </row>
    <row r="383" spans="1:10" hidden="1" x14ac:dyDescent="0.25">
      <c r="A383" s="6">
        <v>507684</v>
      </c>
      <c r="B383" s="7">
        <v>1</v>
      </c>
      <c r="C383" s="7">
        <v>500.52594365650702</v>
      </c>
      <c r="D383" s="7">
        <v>4</v>
      </c>
      <c r="E383" s="1">
        <v>4</v>
      </c>
      <c r="F383" s="7">
        <v>5</v>
      </c>
      <c r="G383" s="7">
        <v>5</v>
      </c>
      <c r="H383" s="7">
        <v>5</v>
      </c>
      <c r="I383" s="7">
        <v>5</v>
      </c>
      <c r="J383" s="8">
        <v>5</v>
      </c>
    </row>
    <row r="384" spans="1:10" hidden="1" x14ac:dyDescent="0.25">
      <c r="A384" s="6">
        <v>507700</v>
      </c>
      <c r="B384" s="7">
        <v>2</v>
      </c>
      <c r="C384" s="7">
        <v>155.21475379418001</v>
      </c>
      <c r="D384" s="7">
        <v>7</v>
      </c>
      <c r="E384" s="1">
        <v>7</v>
      </c>
      <c r="F384" s="7">
        <v>5</v>
      </c>
      <c r="G384" s="7">
        <v>5</v>
      </c>
      <c r="H384" s="7">
        <v>5</v>
      </c>
      <c r="I384" s="7">
        <v>5</v>
      </c>
      <c r="J384" s="8">
        <v>5</v>
      </c>
    </row>
    <row r="385" spans="1:10" hidden="1" x14ac:dyDescent="0.25">
      <c r="A385" s="6">
        <v>507701</v>
      </c>
      <c r="B385" s="7">
        <v>2</v>
      </c>
      <c r="C385" s="7">
        <v>436.03621774008502</v>
      </c>
      <c r="D385" s="7">
        <v>7</v>
      </c>
      <c r="E385" s="1">
        <v>7</v>
      </c>
      <c r="F385" s="7">
        <v>5</v>
      </c>
      <c r="G385" s="7">
        <v>5</v>
      </c>
      <c r="H385" s="7">
        <v>5</v>
      </c>
      <c r="I385" s="7">
        <v>5</v>
      </c>
      <c r="J385" s="8">
        <v>5</v>
      </c>
    </row>
    <row r="386" spans="1:10" hidden="1" x14ac:dyDescent="0.25">
      <c r="A386" s="6">
        <v>507723</v>
      </c>
      <c r="B386" s="7">
        <v>1</v>
      </c>
      <c r="C386" s="7">
        <v>1101.89136662342</v>
      </c>
      <c r="D386" s="7">
        <v>4</v>
      </c>
      <c r="E386" s="1">
        <v>4</v>
      </c>
      <c r="F386" s="7">
        <v>5</v>
      </c>
      <c r="G386" s="7">
        <v>5</v>
      </c>
      <c r="H386" s="7">
        <v>5</v>
      </c>
      <c r="I386" s="7">
        <v>5</v>
      </c>
      <c r="J386" s="8">
        <v>5</v>
      </c>
    </row>
    <row r="387" spans="1:10" hidden="1" x14ac:dyDescent="0.25">
      <c r="A387" s="6">
        <v>507740</v>
      </c>
      <c r="B387" s="7">
        <v>1</v>
      </c>
      <c r="C387" s="7">
        <v>1243.90213319793</v>
      </c>
      <c r="D387" s="7">
        <v>7</v>
      </c>
      <c r="E387" s="1">
        <v>7</v>
      </c>
      <c r="F387" s="7">
        <v>1</v>
      </c>
      <c r="G387" s="7">
        <v>1</v>
      </c>
      <c r="H387" s="7">
        <v>1</v>
      </c>
      <c r="I387" s="7">
        <v>5</v>
      </c>
      <c r="J387" s="8">
        <v>5</v>
      </c>
    </row>
    <row r="388" spans="1:10" x14ac:dyDescent="0.25">
      <c r="A388" s="6">
        <v>507741</v>
      </c>
      <c r="B388" s="7">
        <v>2</v>
      </c>
      <c r="C388" s="7">
        <v>1638.46475064127</v>
      </c>
      <c r="D388" s="7">
        <v>8</v>
      </c>
      <c r="E388" s="1">
        <v>8</v>
      </c>
      <c r="F388" s="7">
        <v>5</v>
      </c>
      <c r="G388" s="7">
        <v>5</v>
      </c>
      <c r="H388" s="7">
        <v>5</v>
      </c>
      <c r="I388" s="7">
        <v>5</v>
      </c>
      <c r="J388" s="8">
        <v>5</v>
      </c>
    </row>
    <row r="389" spans="1:10" hidden="1" x14ac:dyDescent="0.25">
      <c r="A389" s="6">
        <v>507787</v>
      </c>
      <c r="B389" s="7">
        <v>1</v>
      </c>
      <c r="C389" s="7">
        <v>1008.6013630034701</v>
      </c>
      <c r="D389" s="7">
        <v>4</v>
      </c>
      <c r="E389" s="1">
        <v>4</v>
      </c>
      <c r="F389" s="7">
        <v>5</v>
      </c>
      <c r="G389" s="7">
        <v>5</v>
      </c>
      <c r="H389" s="7">
        <v>5</v>
      </c>
      <c r="I389" s="7">
        <v>5</v>
      </c>
      <c r="J389" s="8">
        <v>5</v>
      </c>
    </row>
    <row r="390" spans="1:10" hidden="1" x14ac:dyDescent="0.25">
      <c r="A390" s="6">
        <v>507793</v>
      </c>
      <c r="B390" s="7">
        <v>1</v>
      </c>
      <c r="C390" s="7">
        <v>293.47115054093302</v>
      </c>
      <c r="D390" s="7">
        <v>5</v>
      </c>
      <c r="E390" s="1">
        <v>5</v>
      </c>
      <c r="F390" s="7">
        <v>5</v>
      </c>
      <c r="G390" s="7">
        <v>5</v>
      </c>
      <c r="H390" s="7">
        <v>5</v>
      </c>
      <c r="I390" s="7">
        <v>5</v>
      </c>
      <c r="J390" s="8">
        <v>5</v>
      </c>
    </row>
    <row r="391" spans="1:10" x14ac:dyDescent="0.25">
      <c r="A391" s="6">
        <v>507800</v>
      </c>
      <c r="B391" s="7">
        <v>2</v>
      </c>
      <c r="C391" s="7">
        <v>813.76076877853802</v>
      </c>
      <c r="D391" s="7">
        <v>6</v>
      </c>
      <c r="E391" s="1">
        <v>7</v>
      </c>
      <c r="F391" s="7">
        <v>5</v>
      </c>
      <c r="G391" s="7">
        <v>5</v>
      </c>
      <c r="H391" s="7">
        <v>5</v>
      </c>
      <c r="I391" s="7">
        <v>5</v>
      </c>
      <c r="J391" s="8">
        <v>5</v>
      </c>
    </row>
    <row r="392" spans="1:10" hidden="1" x14ac:dyDescent="0.25">
      <c r="A392" s="6">
        <v>507821</v>
      </c>
      <c r="B392" s="7">
        <v>1</v>
      </c>
      <c r="C392" s="7">
        <v>471.98320525901102</v>
      </c>
      <c r="D392" s="7">
        <v>4</v>
      </c>
      <c r="E392" s="1">
        <v>4</v>
      </c>
      <c r="F392" s="7">
        <v>5</v>
      </c>
      <c r="G392" s="7">
        <v>5</v>
      </c>
      <c r="H392" s="7">
        <v>5</v>
      </c>
      <c r="I392" s="7">
        <v>5</v>
      </c>
      <c r="J392" s="8">
        <v>5</v>
      </c>
    </row>
    <row r="393" spans="1:10" hidden="1" x14ac:dyDescent="0.25">
      <c r="A393" s="6">
        <v>507834</v>
      </c>
      <c r="B393" s="7">
        <v>1</v>
      </c>
      <c r="C393" s="7">
        <v>398.75975220900801</v>
      </c>
      <c r="D393" s="7">
        <v>5</v>
      </c>
      <c r="E393" s="1">
        <v>5</v>
      </c>
      <c r="F393" s="7">
        <v>5</v>
      </c>
      <c r="G393" s="7">
        <v>5</v>
      </c>
      <c r="H393" s="7">
        <v>5</v>
      </c>
      <c r="I393" s="7">
        <v>5</v>
      </c>
      <c r="J393" s="8">
        <v>5</v>
      </c>
    </row>
    <row r="394" spans="1:10" hidden="1" x14ac:dyDescent="0.25">
      <c r="A394" s="6">
        <v>507853</v>
      </c>
      <c r="B394" s="7">
        <v>2</v>
      </c>
      <c r="C394" s="7">
        <v>668.24238368212696</v>
      </c>
      <c r="D394" s="7">
        <v>5</v>
      </c>
      <c r="E394" s="1">
        <v>5</v>
      </c>
      <c r="F394" s="7">
        <v>5</v>
      </c>
      <c r="G394" s="7">
        <v>5</v>
      </c>
      <c r="H394" s="7">
        <v>5</v>
      </c>
      <c r="I394" s="7">
        <v>5</v>
      </c>
      <c r="J394" s="8">
        <v>5</v>
      </c>
    </row>
    <row r="395" spans="1:10" hidden="1" x14ac:dyDescent="0.25">
      <c r="A395" s="6">
        <v>507860</v>
      </c>
      <c r="B395" s="7">
        <v>1</v>
      </c>
      <c r="C395" s="7">
        <v>1033.0651777359999</v>
      </c>
      <c r="D395" s="7">
        <v>2</v>
      </c>
      <c r="E395" s="1">
        <v>7</v>
      </c>
      <c r="F395" s="7">
        <v>5</v>
      </c>
      <c r="G395" s="7">
        <v>5</v>
      </c>
      <c r="H395" s="7">
        <v>5</v>
      </c>
      <c r="I395" s="7">
        <v>5</v>
      </c>
      <c r="J395" s="8">
        <v>5</v>
      </c>
    </row>
    <row r="396" spans="1:10" hidden="1" x14ac:dyDescent="0.25">
      <c r="A396" s="6">
        <v>507871</v>
      </c>
      <c r="B396" s="7">
        <v>1</v>
      </c>
      <c r="C396" s="7">
        <v>1131.2307066839501</v>
      </c>
      <c r="D396" s="7">
        <v>5</v>
      </c>
      <c r="E396" s="1">
        <v>5</v>
      </c>
      <c r="F396" s="7">
        <v>5</v>
      </c>
      <c r="G396" s="7">
        <v>5</v>
      </c>
      <c r="H396" s="7">
        <v>5</v>
      </c>
      <c r="I396" s="7">
        <v>5</v>
      </c>
      <c r="J396" s="8">
        <v>5</v>
      </c>
    </row>
    <row r="397" spans="1:10" hidden="1" x14ac:dyDescent="0.25">
      <c r="A397" s="6">
        <v>507894</v>
      </c>
      <c r="B397" s="7">
        <v>1</v>
      </c>
      <c r="C397" s="7">
        <v>1036.9355069230701</v>
      </c>
      <c r="D397" s="7">
        <v>5</v>
      </c>
      <c r="E397" s="1">
        <v>3</v>
      </c>
      <c r="F397" s="7">
        <v>5</v>
      </c>
      <c r="G397" s="7">
        <v>5</v>
      </c>
      <c r="H397" s="7">
        <v>5</v>
      </c>
      <c r="I397" s="7">
        <v>5</v>
      </c>
      <c r="J397" s="8">
        <v>5</v>
      </c>
    </row>
    <row r="398" spans="1:10" hidden="1" x14ac:dyDescent="0.25">
      <c r="A398" s="6">
        <v>507906</v>
      </c>
      <c r="B398" s="7">
        <v>1</v>
      </c>
      <c r="C398" s="7">
        <v>513.01560550951604</v>
      </c>
      <c r="D398" s="7">
        <v>7</v>
      </c>
      <c r="E398" s="1">
        <v>7</v>
      </c>
      <c r="F398" s="7">
        <v>5</v>
      </c>
      <c r="G398" s="7">
        <v>5</v>
      </c>
      <c r="H398" s="7">
        <v>5</v>
      </c>
      <c r="I398" s="7">
        <v>5</v>
      </c>
      <c r="J398" s="8">
        <v>5</v>
      </c>
    </row>
    <row r="399" spans="1:10" hidden="1" x14ac:dyDescent="0.25">
      <c r="A399" s="6">
        <v>507918</v>
      </c>
      <c r="B399" s="7">
        <v>2</v>
      </c>
      <c r="C399" s="7">
        <v>1703.80629989816</v>
      </c>
      <c r="D399" s="7">
        <v>7</v>
      </c>
      <c r="E399" s="1">
        <v>7</v>
      </c>
      <c r="F399" s="7">
        <v>5</v>
      </c>
      <c r="G399" s="7">
        <v>5</v>
      </c>
      <c r="H399" s="7">
        <v>5</v>
      </c>
      <c r="I399" s="7">
        <v>5</v>
      </c>
      <c r="J399" s="8">
        <v>5</v>
      </c>
    </row>
    <row r="400" spans="1:10" hidden="1" x14ac:dyDescent="0.25">
      <c r="A400" s="6">
        <v>507950</v>
      </c>
      <c r="B400" s="7">
        <v>1</v>
      </c>
      <c r="C400" s="7">
        <v>710.01196456208595</v>
      </c>
      <c r="D400" s="7">
        <v>5</v>
      </c>
      <c r="E400" s="1">
        <v>5</v>
      </c>
      <c r="F400" s="7">
        <v>5</v>
      </c>
      <c r="G400" s="7">
        <v>5</v>
      </c>
      <c r="H400" s="7">
        <v>5</v>
      </c>
      <c r="I400" s="7">
        <v>5</v>
      </c>
      <c r="J400" s="8">
        <v>5</v>
      </c>
    </row>
    <row r="401" spans="1:10" x14ac:dyDescent="0.25">
      <c r="A401" s="6">
        <v>507983</v>
      </c>
      <c r="B401" s="7">
        <v>1</v>
      </c>
      <c r="C401" s="7">
        <v>1084.43082194012</v>
      </c>
      <c r="D401" s="7">
        <v>8</v>
      </c>
      <c r="E401" s="1">
        <v>8</v>
      </c>
      <c r="F401" s="7">
        <v>5</v>
      </c>
      <c r="G401" s="7">
        <v>5</v>
      </c>
      <c r="H401" s="7">
        <v>5</v>
      </c>
      <c r="I401" s="7">
        <v>5</v>
      </c>
      <c r="J401" s="8">
        <v>5</v>
      </c>
    </row>
    <row r="402" spans="1:10" hidden="1" x14ac:dyDescent="0.25">
      <c r="A402" s="6">
        <v>507985</v>
      </c>
      <c r="B402" s="7">
        <v>2</v>
      </c>
      <c r="C402" s="7">
        <v>113.456050372714</v>
      </c>
      <c r="D402" s="7">
        <v>5</v>
      </c>
      <c r="E402" s="1">
        <v>5</v>
      </c>
      <c r="F402" s="7">
        <v>5</v>
      </c>
      <c r="G402" s="7">
        <v>5</v>
      </c>
      <c r="H402" s="7">
        <v>5</v>
      </c>
      <c r="I402" s="7">
        <v>5</v>
      </c>
      <c r="J402" s="8">
        <v>5</v>
      </c>
    </row>
    <row r="403" spans="1:10" hidden="1" x14ac:dyDescent="0.25">
      <c r="A403" s="6">
        <v>507990</v>
      </c>
      <c r="B403" s="7">
        <v>1</v>
      </c>
      <c r="C403" s="7">
        <v>606.78595954234902</v>
      </c>
      <c r="D403" s="7">
        <v>2</v>
      </c>
      <c r="E403" s="1">
        <v>3</v>
      </c>
      <c r="F403" s="7">
        <v>5</v>
      </c>
      <c r="G403" s="7">
        <v>5</v>
      </c>
      <c r="H403" s="7">
        <v>5</v>
      </c>
      <c r="I403" s="7">
        <v>5</v>
      </c>
      <c r="J403" s="8">
        <v>5</v>
      </c>
    </row>
    <row r="404" spans="1:10" hidden="1" x14ac:dyDescent="0.25">
      <c r="A404" s="6">
        <v>507998</v>
      </c>
      <c r="B404" s="7">
        <v>2</v>
      </c>
      <c r="C404" s="7">
        <v>37.2491897693479</v>
      </c>
      <c r="D404" s="7">
        <v>2</v>
      </c>
      <c r="E404" s="1">
        <v>7</v>
      </c>
      <c r="F404" s="7">
        <v>5</v>
      </c>
      <c r="G404" s="7">
        <v>5</v>
      </c>
      <c r="H404" s="7">
        <v>5</v>
      </c>
      <c r="I404" s="7">
        <v>5</v>
      </c>
      <c r="J404" s="8">
        <v>5</v>
      </c>
    </row>
    <row r="405" spans="1:10" hidden="1" x14ac:dyDescent="0.25">
      <c r="A405" s="6">
        <v>508002</v>
      </c>
      <c r="B405" s="7">
        <v>1</v>
      </c>
      <c r="C405" s="7">
        <v>522.51973012954602</v>
      </c>
      <c r="D405" s="7">
        <v>5</v>
      </c>
      <c r="E405" s="1">
        <v>5</v>
      </c>
      <c r="F405" s="7">
        <v>5</v>
      </c>
      <c r="G405" s="7">
        <v>5</v>
      </c>
      <c r="H405" s="7">
        <v>5</v>
      </c>
      <c r="I405" s="7">
        <v>5</v>
      </c>
      <c r="J405" s="8">
        <v>5</v>
      </c>
    </row>
    <row r="406" spans="1:10" hidden="1" x14ac:dyDescent="0.25">
      <c r="A406" s="6">
        <v>508003</v>
      </c>
      <c r="B406" s="7">
        <v>2</v>
      </c>
      <c r="C406" s="7">
        <v>139.497577622188</v>
      </c>
      <c r="D406" s="7">
        <v>4</v>
      </c>
      <c r="E406" s="1">
        <v>4</v>
      </c>
      <c r="F406" s="7">
        <v>5</v>
      </c>
      <c r="G406" s="7">
        <v>5</v>
      </c>
      <c r="H406" s="7">
        <v>5</v>
      </c>
      <c r="I406" s="7">
        <v>5</v>
      </c>
      <c r="J406" s="8">
        <v>5</v>
      </c>
    </row>
    <row r="407" spans="1:10" hidden="1" x14ac:dyDescent="0.25">
      <c r="A407" s="6">
        <v>508006</v>
      </c>
      <c r="B407" s="7">
        <v>1</v>
      </c>
      <c r="C407" s="7">
        <v>1152.5545397352801</v>
      </c>
      <c r="D407" s="7">
        <v>7</v>
      </c>
      <c r="E407" s="1">
        <v>7</v>
      </c>
      <c r="F407" s="7">
        <v>5</v>
      </c>
      <c r="G407" s="7">
        <v>5</v>
      </c>
      <c r="H407" s="7">
        <v>5</v>
      </c>
      <c r="I407" s="7">
        <v>5</v>
      </c>
      <c r="J407" s="8">
        <v>5</v>
      </c>
    </row>
    <row r="408" spans="1:10" hidden="1" x14ac:dyDescent="0.25">
      <c r="A408" s="6">
        <v>508007</v>
      </c>
      <c r="B408" s="7">
        <v>1</v>
      </c>
      <c r="C408" s="7">
        <v>717.50926302998403</v>
      </c>
      <c r="D408" s="7">
        <v>7</v>
      </c>
      <c r="E408" s="1">
        <v>7</v>
      </c>
      <c r="F408" s="7">
        <v>5</v>
      </c>
      <c r="G408" s="7">
        <v>5</v>
      </c>
      <c r="H408" s="7">
        <v>5</v>
      </c>
      <c r="I408" s="7">
        <v>5</v>
      </c>
      <c r="J408" s="8">
        <v>5</v>
      </c>
    </row>
    <row r="409" spans="1:10" hidden="1" x14ac:dyDescent="0.25">
      <c r="A409" s="6">
        <v>508021</v>
      </c>
      <c r="B409" s="7">
        <v>2</v>
      </c>
      <c r="C409" s="7">
        <v>262.76887964049001</v>
      </c>
      <c r="D409" s="7">
        <v>7</v>
      </c>
      <c r="E409" s="1">
        <v>8</v>
      </c>
      <c r="F409" s="7">
        <v>5</v>
      </c>
      <c r="G409" s="7">
        <v>5</v>
      </c>
      <c r="H409" s="7">
        <v>5</v>
      </c>
      <c r="I409" s="7">
        <v>5</v>
      </c>
      <c r="J409" s="8">
        <v>5</v>
      </c>
    </row>
    <row r="410" spans="1:10" hidden="1" x14ac:dyDescent="0.25">
      <c r="A410" s="6">
        <v>508024</v>
      </c>
      <c r="B410" s="7">
        <v>1</v>
      </c>
      <c r="C410" s="7">
        <v>1460.40477641863</v>
      </c>
      <c r="D410" s="7">
        <v>5</v>
      </c>
      <c r="E410" s="1">
        <v>5</v>
      </c>
      <c r="F410" s="7">
        <v>5</v>
      </c>
      <c r="G410" s="7">
        <v>5</v>
      </c>
      <c r="H410" s="7">
        <v>5</v>
      </c>
      <c r="I410" s="7">
        <v>5</v>
      </c>
      <c r="J410" s="8">
        <v>5</v>
      </c>
    </row>
    <row r="411" spans="1:10" hidden="1" x14ac:dyDescent="0.25">
      <c r="A411" s="6">
        <v>508053</v>
      </c>
      <c r="B411" s="7">
        <v>1</v>
      </c>
      <c r="C411" s="7">
        <v>273.71677012094102</v>
      </c>
      <c r="D411" s="7">
        <v>2</v>
      </c>
      <c r="E411" s="1">
        <v>5</v>
      </c>
      <c r="F411" s="7">
        <v>5</v>
      </c>
      <c r="G411" s="7">
        <v>5</v>
      </c>
      <c r="H411" s="7">
        <v>5</v>
      </c>
      <c r="I411" s="7">
        <v>5</v>
      </c>
      <c r="J411" s="8">
        <v>5</v>
      </c>
    </row>
    <row r="412" spans="1:10" hidden="1" x14ac:dyDescent="0.25">
      <c r="A412" s="6">
        <v>508062</v>
      </c>
      <c r="B412" s="7">
        <v>2</v>
      </c>
      <c r="C412" s="7">
        <v>695.23206020434395</v>
      </c>
      <c r="D412" s="7">
        <v>5</v>
      </c>
      <c r="E412" s="1">
        <v>5</v>
      </c>
      <c r="F412" s="7">
        <v>5</v>
      </c>
      <c r="G412" s="7">
        <v>1</v>
      </c>
      <c r="H412" s="7">
        <v>1</v>
      </c>
      <c r="I412" s="7">
        <v>5</v>
      </c>
      <c r="J412" s="8">
        <v>5</v>
      </c>
    </row>
    <row r="413" spans="1:10" hidden="1" x14ac:dyDescent="0.25">
      <c r="A413" s="6">
        <v>508067</v>
      </c>
      <c r="B413" s="7">
        <v>2</v>
      </c>
      <c r="C413" s="7">
        <v>1142.9974608570301</v>
      </c>
      <c r="D413" s="7">
        <v>7</v>
      </c>
      <c r="E413" s="1">
        <v>8</v>
      </c>
      <c r="F413" s="7">
        <v>5</v>
      </c>
      <c r="G413" s="7">
        <v>5</v>
      </c>
      <c r="H413" s="7">
        <v>5</v>
      </c>
      <c r="I413" s="7">
        <v>5</v>
      </c>
      <c r="J413" s="8">
        <v>5</v>
      </c>
    </row>
    <row r="414" spans="1:10" hidden="1" x14ac:dyDescent="0.25">
      <c r="A414" s="6">
        <v>508068</v>
      </c>
      <c r="B414" s="7">
        <v>2</v>
      </c>
      <c r="C414" s="7">
        <v>725.70845493853801</v>
      </c>
      <c r="D414" s="7">
        <v>7</v>
      </c>
      <c r="E414" s="1">
        <v>7</v>
      </c>
      <c r="F414" s="7">
        <v>5</v>
      </c>
      <c r="G414" s="7">
        <v>5</v>
      </c>
      <c r="H414" s="7">
        <v>5</v>
      </c>
      <c r="I414" s="7">
        <v>5</v>
      </c>
      <c r="J414" s="8">
        <v>5</v>
      </c>
    </row>
    <row r="415" spans="1:10" hidden="1" x14ac:dyDescent="0.25">
      <c r="A415" s="6">
        <v>508094</v>
      </c>
      <c r="B415" s="7">
        <v>1</v>
      </c>
      <c r="C415" s="7">
        <v>716.81593296148901</v>
      </c>
      <c r="D415" s="7">
        <v>2</v>
      </c>
      <c r="E415" s="1">
        <v>7</v>
      </c>
      <c r="F415" s="7">
        <v>5</v>
      </c>
      <c r="G415" s="7">
        <v>5</v>
      </c>
      <c r="H415" s="7">
        <v>5</v>
      </c>
      <c r="I415" s="7">
        <v>5</v>
      </c>
      <c r="J415" s="8">
        <v>5</v>
      </c>
    </row>
    <row r="416" spans="1:10" hidden="1" x14ac:dyDescent="0.25">
      <c r="A416" s="6">
        <v>508106</v>
      </c>
      <c r="B416" s="7">
        <v>1</v>
      </c>
      <c r="C416" s="7">
        <v>244.268033646307</v>
      </c>
      <c r="D416" s="7">
        <v>4</v>
      </c>
      <c r="E416" s="1">
        <v>4</v>
      </c>
      <c r="F416" s="7">
        <v>5</v>
      </c>
      <c r="G416" s="7">
        <v>5</v>
      </c>
      <c r="H416" s="7">
        <v>5</v>
      </c>
      <c r="I416" s="7">
        <v>5</v>
      </c>
      <c r="J416" s="8">
        <v>5</v>
      </c>
    </row>
    <row r="417" spans="1:10" hidden="1" x14ac:dyDescent="0.25">
      <c r="A417" s="6">
        <v>508127</v>
      </c>
      <c r="B417" s="7">
        <v>2</v>
      </c>
      <c r="C417" s="7">
        <v>27.0872618069242</v>
      </c>
      <c r="D417" s="7">
        <v>2</v>
      </c>
      <c r="E417" s="1">
        <v>8</v>
      </c>
      <c r="F417" s="7">
        <v>5</v>
      </c>
      <c r="G417" s="7">
        <v>5</v>
      </c>
      <c r="H417" s="7">
        <v>5</v>
      </c>
      <c r="I417" s="7">
        <v>5</v>
      </c>
      <c r="J417" s="8">
        <v>5</v>
      </c>
    </row>
    <row r="418" spans="1:10" hidden="1" x14ac:dyDescent="0.25">
      <c r="A418" s="6">
        <v>508132</v>
      </c>
      <c r="B418" s="7">
        <v>2</v>
      </c>
      <c r="C418" s="7">
        <v>112.909309999694</v>
      </c>
      <c r="D418" s="7">
        <v>7</v>
      </c>
      <c r="E418" s="1">
        <v>7</v>
      </c>
      <c r="F418" s="7">
        <v>5</v>
      </c>
      <c r="G418" s="7">
        <v>5</v>
      </c>
      <c r="H418" s="7">
        <v>5</v>
      </c>
      <c r="I418" s="7">
        <v>5</v>
      </c>
      <c r="J418" s="8">
        <v>5</v>
      </c>
    </row>
    <row r="419" spans="1:10" x14ac:dyDescent="0.25">
      <c r="A419" s="6">
        <v>508137</v>
      </c>
      <c r="B419" s="7">
        <v>2</v>
      </c>
      <c r="C419" s="7">
        <v>456.821330026574</v>
      </c>
      <c r="D419" s="7">
        <v>8</v>
      </c>
      <c r="E419" s="1">
        <v>8</v>
      </c>
      <c r="F419" s="7">
        <v>5</v>
      </c>
      <c r="G419" s="7">
        <v>1</v>
      </c>
      <c r="H419" s="7">
        <v>5</v>
      </c>
      <c r="I419" s="7">
        <v>5</v>
      </c>
      <c r="J419" s="8">
        <v>5</v>
      </c>
    </row>
    <row r="420" spans="1:10" hidden="1" x14ac:dyDescent="0.25">
      <c r="A420" s="6">
        <v>508155</v>
      </c>
      <c r="B420" s="7">
        <v>1</v>
      </c>
      <c r="C420" s="7">
        <v>1283.8565500330701</v>
      </c>
      <c r="D420" s="7">
        <v>4</v>
      </c>
      <c r="E420" s="1">
        <v>4</v>
      </c>
      <c r="F420" s="7">
        <v>5</v>
      </c>
      <c r="G420" s="7">
        <v>5</v>
      </c>
      <c r="H420" s="7">
        <v>5</v>
      </c>
      <c r="I420" s="7">
        <v>5</v>
      </c>
      <c r="J420" s="8">
        <v>5</v>
      </c>
    </row>
    <row r="421" spans="1:10" hidden="1" x14ac:dyDescent="0.25">
      <c r="A421" s="6">
        <v>508160</v>
      </c>
      <c r="B421" s="7">
        <v>1</v>
      </c>
      <c r="C421" s="7">
        <v>493.37101552489702</v>
      </c>
      <c r="D421" s="7">
        <v>5</v>
      </c>
      <c r="E421" s="1">
        <v>5</v>
      </c>
      <c r="F421" s="7">
        <v>5</v>
      </c>
      <c r="G421" s="7">
        <v>5</v>
      </c>
      <c r="H421" s="7">
        <v>5</v>
      </c>
      <c r="I421" s="7">
        <v>5</v>
      </c>
      <c r="J421" s="8">
        <v>5</v>
      </c>
    </row>
    <row r="422" spans="1:10" hidden="1" x14ac:dyDescent="0.25">
      <c r="A422" s="6">
        <v>508200</v>
      </c>
      <c r="B422" s="7">
        <v>2</v>
      </c>
      <c r="C422" s="7">
        <v>107.32723124625301</v>
      </c>
      <c r="D422" s="7">
        <v>7</v>
      </c>
      <c r="E422" s="1">
        <v>7</v>
      </c>
      <c r="F422" s="7">
        <v>5</v>
      </c>
      <c r="G422" s="7">
        <v>5</v>
      </c>
      <c r="H422" s="7">
        <v>5</v>
      </c>
      <c r="I422" s="7">
        <v>5</v>
      </c>
      <c r="J422" s="8">
        <v>5</v>
      </c>
    </row>
    <row r="423" spans="1:10" hidden="1" x14ac:dyDescent="0.25">
      <c r="A423" s="6">
        <v>508213</v>
      </c>
      <c r="B423" s="7">
        <v>2</v>
      </c>
      <c r="C423" s="7">
        <v>39.159630225528097</v>
      </c>
      <c r="D423" s="7">
        <v>5</v>
      </c>
      <c r="E423" s="1">
        <v>5</v>
      </c>
      <c r="F423" s="7">
        <v>5</v>
      </c>
      <c r="G423" s="7">
        <v>5</v>
      </c>
      <c r="H423" s="7">
        <v>5</v>
      </c>
      <c r="I423" s="7">
        <v>5</v>
      </c>
      <c r="J423" s="8">
        <v>5</v>
      </c>
    </row>
    <row r="424" spans="1:10" hidden="1" x14ac:dyDescent="0.25">
      <c r="A424" s="6">
        <v>508214</v>
      </c>
      <c r="B424" s="7">
        <v>2</v>
      </c>
      <c r="C424" s="7">
        <v>30.9772424276041</v>
      </c>
      <c r="D424" s="7">
        <v>7</v>
      </c>
      <c r="E424" s="1">
        <v>7</v>
      </c>
      <c r="F424" s="7">
        <v>5</v>
      </c>
      <c r="G424" s="7">
        <v>5</v>
      </c>
      <c r="H424" s="7">
        <v>5</v>
      </c>
      <c r="I424" s="7">
        <v>5</v>
      </c>
      <c r="J424" s="8">
        <v>5</v>
      </c>
    </row>
    <row r="425" spans="1:10" hidden="1" x14ac:dyDescent="0.25">
      <c r="A425" s="6">
        <v>508227</v>
      </c>
      <c r="B425" s="7">
        <v>1</v>
      </c>
      <c r="C425" s="7">
        <v>710.54277217260994</v>
      </c>
      <c r="D425" s="7">
        <v>4</v>
      </c>
      <c r="E425" s="1">
        <v>4</v>
      </c>
      <c r="F425" s="7">
        <v>5</v>
      </c>
      <c r="G425" s="7">
        <v>5</v>
      </c>
      <c r="H425" s="7">
        <v>5</v>
      </c>
      <c r="I425" s="7">
        <v>5</v>
      </c>
      <c r="J425" s="8">
        <v>5</v>
      </c>
    </row>
    <row r="426" spans="1:10" hidden="1" x14ac:dyDescent="0.25">
      <c r="A426" s="6">
        <v>508231</v>
      </c>
      <c r="B426" s="7">
        <v>1</v>
      </c>
      <c r="C426" s="7">
        <v>753.11456736545802</v>
      </c>
      <c r="D426" s="7">
        <v>5</v>
      </c>
      <c r="E426" s="1">
        <v>5</v>
      </c>
      <c r="F426" s="7">
        <v>5</v>
      </c>
      <c r="G426" s="7">
        <v>5</v>
      </c>
      <c r="H426" s="7">
        <v>5</v>
      </c>
      <c r="I426" s="7">
        <v>5</v>
      </c>
      <c r="J426" s="8">
        <v>5</v>
      </c>
    </row>
    <row r="427" spans="1:10" hidden="1" x14ac:dyDescent="0.25">
      <c r="A427" s="6">
        <v>508243</v>
      </c>
      <c r="B427" s="7">
        <v>2</v>
      </c>
      <c r="C427" s="7">
        <v>667.74736908404395</v>
      </c>
      <c r="D427" s="7">
        <v>5</v>
      </c>
      <c r="E427" s="1">
        <v>5</v>
      </c>
      <c r="F427" s="7">
        <v>5</v>
      </c>
      <c r="G427" s="7">
        <v>5</v>
      </c>
      <c r="H427" s="7">
        <v>5</v>
      </c>
      <c r="I427" s="7">
        <v>5</v>
      </c>
      <c r="J427" s="8">
        <v>5</v>
      </c>
    </row>
    <row r="428" spans="1:10" hidden="1" x14ac:dyDescent="0.25">
      <c r="A428" s="6">
        <v>508249</v>
      </c>
      <c r="B428" s="7">
        <v>1</v>
      </c>
      <c r="C428" s="7">
        <v>1219.5036803913599</v>
      </c>
      <c r="D428" s="7">
        <v>2</v>
      </c>
      <c r="E428" s="1">
        <v>5</v>
      </c>
      <c r="F428" s="7">
        <v>5</v>
      </c>
      <c r="G428" s="7">
        <v>5</v>
      </c>
      <c r="H428" s="7">
        <v>5</v>
      </c>
      <c r="I428" s="7">
        <v>5</v>
      </c>
      <c r="J428" s="8">
        <v>5</v>
      </c>
    </row>
    <row r="429" spans="1:10" hidden="1" x14ac:dyDescent="0.25">
      <c r="A429" s="6">
        <v>508256</v>
      </c>
      <c r="B429" s="7">
        <v>2</v>
      </c>
      <c r="C429" s="7">
        <v>357.38738135043201</v>
      </c>
      <c r="D429" s="7">
        <v>4</v>
      </c>
      <c r="E429" s="1">
        <v>4</v>
      </c>
      <c r="F429" s="7">
        <v>5</v>
      </c>
      <c r="G429" s="7">
        <v>5</v>
      </c>
      <c r="H429" s="7">
        <v>5</v>
      </c>
      <c r="I429" s="7">
        <v>5</v>
      </c>
      <c r="J429" s="8">
        <v>5</v>
      </c>
    </row>
    <row r="430" spans="1:10" hidden="1" x14ac:dyDescent="0.25">
      <c r="A430" s="6">
        <v>508277</v>
      </c>
      <c r="B430" s="7">
        <v>1</v>
      </c>
      <c r="C430" s="7">
        <v>355.83180115722303</v>
      </c>
      <c r="D430" s="7">
        <v>5</v>
      </c>
      <c r="E430" s="1">
        <v>5</v>
      </c>
      <c r="F430" s="7">
        <v>5</v>
      </c>
      <c r="G430" s="7">
        <v>5</v>
      </c>
      <c r="H430" s="7">
        <v>5</v>
      </c>
      <c r="I430" s="7">
        <v>5</v>
      </c>
      <c r="J430" s="8">
        <v>5</v>
      </c>
    </row>
    <row r="431" spans="1:10" hidden="1" x14ac:dyDescent="0.25">
      <c r="A431" s="6">
        <v>508291</v>
      </c>
      <c r="B431" s="7">
        <v>1</v>
      </c>
      <c r="C431" s="7">
        <v>722.76842691567595</v>
      </c>
      <c r="D431" s="7">
        <v>2</v>
      </c>
      <c r="E431" s="1">
        <v>5</v>
      </c>
      <c r="F431" s="7">
        <v>5</v>
      </c>
      <c r="G431" s="7">
        <v>5</v>
      </c>
      <c r="H431" s="7">
        <v>5</v>
      </c>
      <c r="I431" s="7">
        <v>5</v>
      </c>
      <c r="J431" s="8">
        <v>5</v>
      </c>
    </row>
    <row r="432" spans="1:10" hidden="1" x14ac:dyDescent="0.25">
      <c r="A432" s="6">
        <v>508295</v>
      </c>
      <c r="B432" s="7">
        <v>2</v>
      </c>
      <c r="C432" s="7">
        <v>158.490781806717</v>
      </c>
      <c r="D432" s="7">
        <v>5</v>
      </c>
      <c r="E432" s="1">
        <v>5</v>
      </c>
      <c r="F432" s="7">
        <v>5</v>
      </c>
      <c r="G432" s="7">
        <v>5</v>
      </c>
      <c r="H432" s="7">
        <v>5</v>
      </c>
      <c r="I432" s="7">
        <v>5</v>
      </c>
      <c r="J432" s="8">
        <v>5</v>
      </c>
    </row>
    <row r="433" spans="1:10" hidden="1" x14ac:dyDescent="0.25">
      <c r="A433" s="6">
        <v>508302</v>
      </c>
      <c r="B433" s="7">
        <v>2</v>
      </c>
      <c r="C433" s="7">
        <v>81.439302073063502</v>
      </c>
      <c r="D433" s="7">
        <v>7</v>
      </c>
      <c r="E433" s="1">
        <v>7</v>
      </c>
      <c r="F433" s="7">
        <v>5</v>
      </c>
      <c r="G433" s="7">
        <v>5</v>
      </c>
      <c r="H433" s="7">
        <v>5</v>
      </c>
      <c r="I433" s="7">
        <v>5</v>
      </c>
      <c r="J433" s="8">
        <v>5</v>
      </c>
    </row>
    <row r="434" spans="1:10" hidden="1" x14ac:dyDescent="0.25">
      <c r="A434" s="6">
        <v>508362</v>
      </c>
      <c r="B434" s="7">
        <v>1</v>
      </c>
      <c r="C434" s="7">
        <v>620.89356554051096</v>
      </c>
      <c r="D434" s="7">
        <v>1</v>
      </c>
      <c r="E434" s="1">
        <v>4</v>
      </c>
      <c r="F434" s="7">
        <v>5</v>
      </c>
      <c r="G434" s="7">
        <v>5</v>
      </c>
      <c r="H434" s="7">
        <v>5</v>
      </c>
      <c r="I434" s="7">
        <v>5</v>
      </c>
      <c r="J434" s="8">
        <v>5</v>
      </c>
    </row>
    <row r="435" spans="1:10" hidden="1" x14ac:dyDescent="0.25">
      <c r="A435" s="6">
        <v>508381</v>
      </c>
      <c r="B435" s="7">
        <v>1</v>
      </c>
      <c r="C435" s="7">
        <v>584.28081171940903</v>
      </c>
      <c r="D435" s="7">
        <v>5</v>
      </c>
      <c r="E435" s="1">
        <v>5</v>
      </c>
      <c r="F435" s="7">
        <v>5</v>
      </c>
      <c r="G435" s="7">
        <v>5</v>
      </c>
      <c r="H435" s="7">
        <v>5</v>
      </c>
      <c r="I435" s="7">
        <v>5</v>
      </c>
      <c r="J435" s="8">
        <v>5</v>
      </c>
    </row>
    <row r="436" spans="1:10" hidden="1" x14ac:dyDescent="0.25">
      <c r="A436" s="6">
        <v>508384</v>
      </c>
      <c r="B436" s="7">
        <v>2</v>
      </c>
      <c r="C436" s="7">
        <v>439.80343666629301</v>
      </c>
      <c r="D436" s="7">
        <v>7</v>
      </c>
      <c r="E436" s="1">
        <v>7</v>
      </c>
      <c r="F436" s="7">
        <v>5</v>
      </c>
      <c r="G436" s="7">
        <v>5</v>
      </c>
      <c r="H436" s="7">
        <v>5</v>
      </c>
      <c r="I436" s="7">
        <v>5</v>
      </c>
      <c r="J436" s="8">
        <v>5</v>
      </c>
    </row>
    <row r="437" spans="1:10" hidden="1" x14ac:dyDescent="0.25">
      <c r="A437" s="6">
        <v>508386</v>
      </c>
      <c r="B437" s="7">
        <v>2</v>
      </c>
      <c r="C437" s="7">
        <v>117.586741834316</v>
      </c>
      <c r="D437" s="7">
        <v>4</v>
      </c>
      <c r="E437" s="1">
        <v>4</v>
      </c>
      <c r="F437" s="7">
        <v>5</v>
      </c>
      <c r="G437" s="7">
        <v>5</v>
      </c>
      <c r="H437" s="7">
        <v>5</v>
      </c>
      <c r="I437" s="7">
        <v>5</v>
      </c>
      <c r="J437" s="8">
        <v>5</v>
      </c>
    </row>
    <row r="438" spans="1:10" x14ac:dyDescent="0.25">
      <c r="A438" s="6">
        <v>508449</v>
      </c>
      <c r="B438" s="7">
        <v>2</v>
      </c>
      <c r="C438" s="7">
        <v>276.40448244829201</v>
      </c>
      <c r="D438" s="7">
        <v>8</v>
      </c>
      <c r="E438" s="1">
        <v>8</v>
      </c>
      <c r="F438" s="7">
        <v>5</v>
      </c>
      <c r="G438" s="7">
        <v>5</v>
      </c>
      <c r="H438" s="7">
        <v>1</v>
      </c>
      <c r="I438" s="7">
        <v>5</v>
      </c>
      <c r="J438" s="8">
        <v>5</v>
      </c>
    </row>
    <row r="439" spans="1:10" hidden="1" x14ac:dyDescent="0.25">
      <c r="A439" s="6">
        <v>508458</v>
      </c>
      <c r="B439" s="7">
        <v>2</v>
      </c>
      <c r="C439" s="7">
        <v>777.40611994211395</v>
      </c>
      <c r="D439" s="7">
        <v>5</v>
      </c>
      <c r="E439" s="1">
        <v>5</v>
      </c>
      <c r="F439" s="7">
        <v>5</v>
      </c>
      <c r="G439" s="7">
        <v>5</v>
      </c>
      <c r="H439" s="7">
        <v>5</v>
      </c>
      <c r="I439" s="7">
        <v>5</v>
      </c>
      <c r="J439" s="8">
        <v>5</v>
      </c>
    </row>
    <row r="440" spans="1:10" hidden="1" x14ac:dyDescent="0.25">
      <c r="A440" s="6">
        <v>508469</v>
      </c>
      <c r="B440" s="7">
        <v>1</v>
      </c>
      <c r="C440" s="7">
        <v>498.01887808298602</v>
      </c>
      <c r="D440" s="7">
        <v>4</v>
      </c>
      <c r="E440" s="1">
        <v>5</v>
      </c>
      <c r="F440" s="7">
        <v>5</v>
      </c>
      <c r="G440" s="7">
        <v>5</v>
      </c>
      <c r="H440" s="7">
        <v>5</v>
      </c>
      <c r="I440" s="7">
        <v>5</v>
      </c>
      <c r="J440" s="8">
        <v>5</v>
      </c>
    </row>
    <row r="441" spans="1:10" hidden="1" x14ac:dyDescent="0.25">
      <c r="A441" s="6">
        <v>508473</v>
      </c>
      <c r="B441" s="7">
        <v>2</v>
      </c>
      <c r="C441" s="7">
        <v>116.80355721589601</v>
      </c>
      <c r="D441" s="7">
        <v>5</v>
      </c>
      <c r="E441" s="1">
        <v>5</v>
      </c>
      <c r="F441" s="7">
        <v>5</v>
      </c>
      <c r="G441" s="7">
        <v>5</v>
      </c>
      <c r="H441" s="7">
        <v>5</v>
      </c>
      <c r="I441" s="7">
        <v>5</v>
      </c>
      <c r="J441" s="8">
        <v>5</v>
      </c>
    </row>
    <row r="442" spans="1:10" hidden="1" x14ac:dyDescent="0.25">
      <c r="A442" s="6">
        <v>508495</v>
      </c>
      <c r="B442" s="7">
        <v>1</v>
      </c>
      <c r="C442" s="7">
        <v>756.23208075591003</v>
      </c>
      <c r="D442" s="7">
        <v>4</v>
      </c>
      <c r="E442" s="1">
        <v>4</v>
      </c>
      <c r="F442" s="7">
        <v>5</v>
      </c>
      <c r="G442" s="7">
        <v>5</v>
      </c>
      <c r="H442" s="7">
        <v>5</v>
      </c>
      <c r="I442" s="7">
        <v>5</v>
      </c>
      <c r="J442" s="8">
        <v>5</v>
      </c>
    </row>
    <row r="443" spans="1:10" hidden="1" x14ac:dyDescent="0.25">
      <c r="A443" s="6">
        <v>508523</v>
      </c>
      <c r="B443" s="7">
        <v>1</v>
      </c>
      <c r="C443" s="7">
        <v>511.452232340004</v>
      </c>
      <c r="D443" s="7">
        <v>5</v>
      </c>
      <c r="E443" s="1">
        <v>5</v>
      </c>
      <c r="F443" s="7">
        <v>5</v>
      </c>
      <c r="G443" s="7">
        <v>5</v>
      </c>
      <c r="H443" s="7">
        <v>5</v>
      </c>
      <c r="I443" s="7">
        <v>5</v>
      </c>
      <c r="J443" s="8">
        <v>5</v>
      </c>
    </row>
    <row r="444" spans="1:10" hidden="1" x14ac:dyDescent="0.25">
      <c r="A444" s="6">
        <v>508525</v>
      </c>
      <c r="B444" s="7">
        <v>1</v>
      </c>
      <c r="C444" s="7">
        <v>989.85869530277796</v>
      </c>
      <c r="D444" s="7">
        <v>4</v>
      </c>
      <c r="E444" s="1">
        <v>4</v>
      </c>
      <c r="F444" s="7">
        <v>5</v>
      </c>
      <c r="G444" s="7">
        <v>5</v>
      </c>
      <c r="H444" s="7">
        <v>5</v>
      </c>
      <c r="I444" s="7">
        <v>5</v>
      </c>
      <c r="J444" s="8">
        <v>5</v>
      </c>
    </row>
    <row r="445" spans="1:10" hidden="1" x14ac:dyDescent="0.25">
      <c r="A445" s="6">
        <v>508621</v>
      </c>
      <c r="B445" s="7">
        <v>1</v>
      </c>
      <c r="C445" s="7">
        <v>644.05670319498597</v>
      </c>
      <c r="D445" s="7">
        <v>5</v>
      </c>
      <c r="E445" s="1">
        <v>5</v>
      </c>
      <c r="F445" s="7">
        <v>5</v>
      </c>
      <c r="G445" s="7">
        <v>5</v>
      </c>
      <c r="H445" s="7">
        <v>5</v>
      </c>
      <c r="I445" s="7">
        <v>5</v>
      </c>
      <c r="J445" s="8">
        <v>5</v>
      </c>
    </row>
    <row r="446" spans="1:10" hidden="1" x14ac:dyDescent="0.25">
      <c r="A446" s="6">
        <v>508635</v>
      </c>
      <c r="B446" s="7">
        <v>1</v>
      </c>
      <c r="C446" s="7">
        <v>189.48054333653999</v>
      </c>
      <c r="D446" s="7">
        <v>2</v>
      </c>
      <c r="E446" s="1">
        <v>7</v>
      </c>
      <c r="F446" s="7">
        <v>5</v>
      </c>
      <c r="G446" s="7">
        <v>5</v>
      </c>
      <c r="H446" s="7">
        <v>5</v>
      </c>
      <c r="I446" s="7">
        <v>5</v>
      </c>
      <c r="J446" s="8">
        <v>5</v>
      </c>
    </row>
    <row r="447" spans="1:10" hidden="1" x14ac:dyDescent="0.25">
      <c r="A447" s="6">
        <v>508655</v>
      </c>
      <c r="B447" s="7">
        <v>2</v>
      </c>
      <c r="C447" s="7">
        <v>26.545162608176401</v>
      </c>
      <c r="D447" s="7">
        <v>7</v>
      </c>
      <c r="E447" s="1">
        <v>7</v>
      </c>
      <c r="F447" s="7">
        <v>5</v>
      </c>
      <c r="G447" s="7">
        <v>5</v>
      </c>
      <c r="H447" s="7">
        <v>5</v>
      </c>
      <c r="I447" s="7">
        <v>5</v>
      </c>
      <c r="J447" s="8">
        <v>5</v>
      </c>
    </row>
    <row r="448" spans="1:10" hidden="1" x14ac:dyDescent="0.25">
      <c r="A448" s="6">
        <v>508686</v>
      </c>
      <c r="B448" s="7">
        <v>1</v>
      </c>
      <c r="C448" s="7">
        <v>88.235907196628403</v>
      </c>
      <c r="D448" s="7">
        <v>4</v>
      </c>
      <c r="E448" s="1">
        <v>4</v>
      </c>
      <c r="F448" s="7">
        <v>5</v>
      </c>
      <c r="G448" s="7">
        <v>5</v>
      </c>
      <c r="H448" s="7">
        <v>5</v>
      </c>
      <c r="I448" s="7">
        <v>5</v>
      </c>
      <c r="J448" s="8">
        <v>5</v>
      </c>
    </row>
    <row r="449" spans="1:10" hidden="1" x14ac:dyDescent="0.25">
      <c r="A449" s="6">
        <v>508692</v>
      </c>
      <c r="B449" s="7">
        <v>1</v>
      </c>
      <c r="C449" s="7">
        <v>718.16747837706703</v>
      </c>
      <c r="D449" s="7">
        <v>2</v>
      </c>
      <c r="E449" s="1">
        <v>4</v>
      </c>
      <c r="F449" s="7">
        <v>5</v>
      </c>
      <c r="G449" s="7">
        <v>5</v>
      </c>
      <c r="H449" s="7">
        <v>5</v>
      </c>
      <c r="I449" s="7">
        <v>5</v>
      </c>
      <c r="J449" s="8">
        <v>5</v>
      </c>
    </row>
    <row r="450" spans="1:10" hidden="1" x14ac:dyDescent="0.25">
      <c r="A450" s="6">
        <v>508821</v>
      </c>
      <c r="B450" s="7">
        <v>2</v>
      </c>
      <c r="C450" s="7">
        <v>148.626491322725</v>
      </c>
      <c r="D450" s="7">
        <v>2</v>
      </c>
      <c r="E450" s="1">
        <v>5</v>
      </c>
      <c r="F450" s="7">
        <v>5</v>
      </c>
      <c r="G450" s="7">
        <v>5</v>
      </c>
      <c r="H450" s="7">
        <v>5</v>
      </c>
      <c r="I450" s="7">
        <v>5</v>
      </c>
      <c r="J450" s="8">
        <v>5</v>
      </c>
    </row>
    <row r="451" spans="1:10" hidden="1" x14ac:dyDescent="0.25">
      <c r="A451" s="6">
        <v>508845</v>
      </c>
      <c r="B451" s="7">
        <v>1</v>
      </c>
      <c r="C451" s="7">
        <v>756.13362417812402</v>
      </c>
      <c r="D451" s="7">
        <v>2</v>
      </c>
      <c r="E451" s="1">
        <v>7</v>
      </c>
      <c r="F451" s="7">
        <v>5</v>
      </c>
      <c r="G451" s="7">
        <v>5</v>
      </c>
      <c r="H451" s="7">
        <v>5</v>
      </c>
      <c r="I451" s="7">
        <v>5</v>
      </c>
      <c r="J451" s="8">
        <v>5</v>
      </c>
    </row>
    <row r="452" spans="1:10" hidden="1" x14ac:dyDescent="0.25">
      <c r="A452" s="6">
        <v>508847</v>
      </c>
      <c r="B452" s="7">
        <v>2</v>
      </c>
      <c r="C452" s="7">
        <v>99.536332510798402</v>
      </c>
      <c r="D452" s="7">
        <v>7</v>
      </c>
      <c r="E452" s="1">
        <v>7</v>
      </c>
      <c r="F452" s="7">
        <v>5</v>
      </c>
      <c r="G452" s="7">
        <v>5</v>
      </c>
      <c r="H452" s="7">
        <v>5</v>
      </c>
      <c r="I452" s="7">
        <v>5</v>
      </c>
      <c r="J452" s="8">
        <v>5</v>
      </c>
    </row>
    <row r="453" spans="1:10" hidden="1" x14ac:dyDescent="0.25">
      <c r="A453" s="6">
        <v>508849</v>
      </c>
      <c r="B453" s="7">
        <v>1</v>
      </c>
      <c r="C453" s="7">
        <v>727.56783875745805</v>
      </c>
      <c r="D453" s="7">
        <v>5</v>
      </c>
      <c r="E453" s="1">
        <v>5</v>
      </c>
      <c r="F453" s="7">
        <v>5</v>
      </c>
      <c r="G453" s="7">
        <v>5</v>
      </c>
      <c r="H453" s="7">
        <v>5</v>
      </c>
      <c r="I453" s="7">
        <v>5</v>
      </c>
      <c r="J453" s="8">
        <v>5</v>
      </c>
    </row>
    <row r="454" spans="1:10" x14ac:dyDescent="0.25">
      <c r="A454" s="6">
        <v>508868</v>
      </c>
      <c r="B454" s="7">
        <v>2</v>
      </c>
      <c r="C454" s="7">
        <v>213.86800516427999</v>
      </c>
      <c r="D454" s="7">
        <v>6</v>
      </c>
      <c r="E454" s="1">
        <v>6</v>
      </c>
      <c r="F454" s="7">
        <v>5</v>
      </c>
      <c r="G454" s="7">
        <v>5</v>
      </c>
      <c r="H454" s="7">
        <v>5</v>
      </c>
      <c r="I454" s="7">
        <v>5</v>
      </c>
      <c r="J454" s="8">
        <v>5</v>
      </c>
    </row>
    <row r="455" spans="1:10" x14ac:dyDescent="0.25">
      <c r="A455" s="6">
        <v>508885</v>
      </c>
      <c r="B455" s="7">
        <v>2</v>
      </c>
      <c r="C455" s="7">
        <v>90.332630532060193</v>
      </c>
      <c r="D455" s="7">
        <v>8</v>
      </c>
      <c r="E455" s="1">
        <v>8</v>
      </c>
      <c r="F455" s="7">
        <v>5</v>
      </c>
      <c r="G455" s="7">
        <v>5</v>
      </c>
      <c r="H455" s="7">
        <v>5</v>
      </c>
      <c r="I455" s="7">
        <v>5</v>
      </c>
      <c r="J455" s="8">
        <v>5</v>
      </c>
    </row>
    <row r="456" spans="1:10" hidden="1" x14ac:dyDescent="0.25">
      <c r="A456" s="6">
        <v>508988</v>
      </c>
      <c r="B456" s="7">
        <v>1</v>
      </c>
      <c r="C456" s="7">
        <v>905.689719933643</v>
      </c>
      <c r="D456" s="7">
        <v>5</v>
      </c>
      <c r="E456" s="1">
        <v>5</v>
      </c>
      <c r="F456" s="7">
        <v>5</v>
      </c>
      <c r="G456" s="7">
        <v>5</v>
      </c>
      <c r="H456" s="7">
        <v>5</v>
      </c>
      <c r="I456" s="7">
        <v>5</v>
      </c>
      <c r="J456" s="8">
        <v>5</v>
      </c>
    </row>
    <row r="457" spans="1:10" hidden="1" x14ac:dyDescent="0.25">
      <c r="A457" s="6">
        <v>508991</v>
      </c>
      <c r="B457" s="7">
        <v>1</v>
      </c>
      <c r="C457" s="7">
        <v>515.79057114654597</v>
      </c>
      <c r="D457" s="7">
        <v>4</v>
      </c>
      <c r="E457" s="1">
        <v>4</v>
      </c>
      <c r="F457" s="7">
        <v>5</v>
      </c>
      <c r="G457" s="7">
        <v>5</v>
      </c>
      <c r="H457" s="7">
        <v>5</v>
      </c>
      <c r="I457" s="7">
        <v>5</v>
      </c>
      <c r="J457" s="8">
        <v>5</v>
      </c>
    </row>
    <row r="458" spans="1:10" hidden="1" x14ac:dyDescent="0.25">
      <c r="A458" s="6">
        <v>509041</v>
      </c>
      <c r="B458" s="7">
        <v>1</v>
      </c>
      <c r="C458" s="7">
        <v>605.21603769527906</v>
      </c>
      <c r="D458" s="7">
        <v>7</v>
      </c>
      <c r="E458" s="1">
        <v>7</v>
      </c>
      <c r="F458" s="7">
        <v>5</v>
      </c>
      <c r="G458" s="7">
        <v>5</v>
      </c>
      <c r="H458" s="7">
        <v>5</v>
      </c>
      <c r="I458" s="7">
        <v>5</v>
      </c>
      <c r="J458" s="8">
        <v>5</v>
      </c>
    </row>
    <row r="459" spans="1:10" hidden="1" x14ac:dyDescent="0.25">
      <c r="A459" s="6">
        <v>509101</v>
      </c>
      <c r="B459" s="7">
        <v>2</v>
      </c>
      <c r="C459" s="7">
        <v>557.14334991674502</v>
      </c>
      <c r="D459" s="7">
        <v>2</v>
      </c>
      <c r="E459" s="1">
        <v>8</v>
      </c>
      <c r="F459" s="7">
        <v>5</v>
      </c>
      <c r="G459" s="7">
        <v>5</v>
      </c>
      <c r="H459" s="7">
        <v>5</v>
      </c>
      <c r="I459" s="7">
        <v>5</v>
      </c>
      <c r="J459" s="8">
        <v>5</v>
      </c>
    </row>
    <row r="460" spans="1:10" hidden="1" x14ac:dyDescent="0.25">
      <c r="A460" s="6">
        <v>509110</v>
      </c>
      <c r="B460" s="7">
        <v>2</v>
      </c>
      <c r="C460" s="7">
        <v>518.91191453277895</v>
      </c>
      <c r="D460" s="7">
        <v>5</v>
      </c>
      <c r="E460" s="1">
        <v>5</v>
      </c>
      <c r="F460" s="7">
        <v>5</v>
      </c>
      <c r="G460" s="7">
        <v>5</v>
      </c>
      <c r="H460" s="7">
        <v>5</v>
      </c>
      <c r="I460" s="7">
        <v>5</v>
      </c>
      <c r="J460" s="8">
        <v>5</v>
      </c>
    </row>
    <row r="461" spans="1:10" hidden="1" x14ac:dyDescent="0.25">
      <c r="A461" s="6">
        <v>509114</v>
      </c>
      <c r="B461" s="7">
        <v>2</v>
      </c>
      <c r="C461" s="7">
        <v>21.532250710547199</v>
      </c>
      <c r="D461" s="7">
        <v>2</v>
      </c>
      <c r="E461" s="1">
        <v>7</v>
      </c>
      <c r="F461" s="7">
        <v>5</v>
      </c>
      <c r="G461" s="7">
        <v>5</v>
      </c>
      <c r="H461" s="7">
        <v>5</v>
      </c>
      <c r="I461" s="7">
        <v>5</v>
      </c>
      <c r="J461" s="8">
        <v>5</v>
      </c>
    </row>
    <row r="462" spans="1:10" x14ac:dyDescent="0.25">
      <c r="A462" s="6">
        <v>509185</v>
      </c>
      <c r="B462" s="7">
        <v>2</v>
      </c>
      <c r="C462" s="7">
        <v>175.59262953142701</v>
      </c>
      <c r="D462" s="7">
        <v>8</v>
      </c>
      <c r="E462" s="1">
        <v>8</v>
      </c>
      <c r="F462" s="7">
        <v>5</v>
      </c>
      <c r="G462" s="7">
        <v>5</v>
      </c>
      <c r="H462" s="7">
        <v>5</v>
      </c>
      <c r="I462" s="7">
        <v>5</v>
      </c>
      <c r="J462" s="8">
        <v>5</v>
      </c>
    </row>
    <row r="463" spans="1:10" hidden="1" x14ac:dyDescent="0.25">
      <c r="A463" s="6">
        <v>509291</v>
      </c>
      <c r="B463" s="7">
        <v>2</v>
      </c>
      <c r="C463" s="7">
        <v>772.81300165456605</v>
      </c>
      <c r="D463" s="7">
        <v>5</v>
      </c>
      <c r="E463" s="1">
        <v>5</v>
      </c>
      <c r="F463" s="7">
        <v>5</v>
      </c>
      <c r="G463" s="7">
        <v>5</v>
      </c>
      <c r="H463" s="7">
        <v>5</v>
      </c>
      <c r="I463" s="7">
        <v>5</v>
      </c>
      <c r="J463" s="8">
        <v>5</v>
      </c>
    </row>
    <row r="464" spans="1:10" hidden="1" x14ac:dyDescent="0.25">
      <c r="A464" s="6">
        <v>509373</v>
      </c>
      <c r="B464" s="7">
        <v>2</v>
      </c>
      <c r="C464" s="7">
        <v>160.45249610990601</v>
      </c>
      <c r="D464" s="7">
        <v>7</v>
      </c>
      <c r="E464" s="1">
        <v>7</v>
      </c>
      <c r="F464" s="7">
        <v>5</v>
      </c>
      <c r="G464" s="7">
        <v>5</v>
      </c>
      <c r="H464" s="7">
        <v>5</v>
      </c>
      <c r="I464" s="7">
        <v>5</v>
      </c>
      <c r="J464" s="8">
        <v>5</v>
      </c>
    </row>
    <row r="465" spans="1:10" hidden="1" x14ac:dyDescent="0.25">
      <c r="A465" s="6">
        <v>509408</v>
      </c>
      <c r="B465" s="7">
        <v>1</v>
      </c>
      <c r="C465" s="7">
        <v>529.03364547757803</v>
      </c>
      <c r="D465" s="7">
        <v>2</v>
      </c>
      <c r="E465" s="1">
        <v>7</v>
      </c>
      <c r="F465" s="7">
        <v>5</v>
      </c>
      <c r="G465" s="7">
        <v>5</v>
      </c>
      <c r="H465" s="7">
        <v>5</v>
      </c>
      <c r="I465" s="7">
        <v>5</v>
      </c>
      <c r="J465" s="8">
        <v>5</v>
      </c>
    </row>
    <row r="466" spans="1:10" x14ac:dyDescent="0.25">
      <c r="A466" s="6">
        <v>509451</v>
      </c>
      <c r="B466" s="7">
        <v>2</v>
      </c>
      <c r="C466" s="7">
        <v>1603.96087426656</v>
      </c>
      <c r="D466" s="7">
        <v>8</v>
      </c>
      <c r="E466" s="1">
        <v>8</v>
      </c>
      <c r="F466" s="7">
        <v>5</v>
      </c>
      <c r="G466" s="7">
        <v>5</v>
      </c>
      <c r="H466" s="7">
        <v>5</v>
      </c>
      <c r="I466" s="7">
        <v>5</v>
      </c>
      <c r="J466" s="8">
        <v>5</v>
      </c>
    </row>
    <row r="467" spans="1:10" hidden="1" x14ac:dyDescent="0.25">
      <c r="A467" s="6">
        <v>509456</v>
      </c>
      <c r="B467" s="7">
        <v>2</v>
      </c>
      <c r="C467" s="7">
        <v>221.097891214421</v>
      </c>
      <c r="D467" s="7">
        <v>5</v>
      </c>
      <c r="E467" s="1">
        <v>5</v>
      </c>
      <c r="F467" s="7">
        <v>5</v>
      </c>
      <c r="G467" s="7">
        <v>5</v>
      </c>
      <c r="H467" s="7">
        <v>5</v>
      </c>
      <c r="I467" s="7">
        <v>5</v>
      </c>
      <c r="J467" s="8">
        <v>5</v>
      </c>
    </row>
    <row r="468" spans="1:10" hidden="1" x14ac:dyDescent="0.25">
      <c r="A468" s="6">
        <v>509458</v>
      </c>
      <c r="B468" s="7">
        <v>2</v>
      </c>
      <c r="C468" s="7">
        <v>811.13002983621095</v>
      </c>
      <c r="D468" s="7">
        <v>7</v>
      </c>
      <c r="E468" s="1">
        <v>8</v>
      </c>
      <c r="F468" s="7">
        <v>5</v>
      </c>
      <c r="G468" s="7">
        <v>5</v>
      </c>
      <c r="H468" s="7">
        <v>5</v>
      </c>
      <c r="I468" s="7">
        <v>5</v>
      </c>
      <c r="J468" s="8">
        <v>5</v>
      </c>
    </row>
    <row r="469" spans="1:10" hidden="1" x14ac:dyDescent="0.25">
      <c r="A469" s="6">
        <v>509486</v>
      </c>
      <c r="B469" s="7">
        <v>2</v>
      </c>
      <c r="C469" s="7">
        <v>947.54188726698305</v>
      </c>
      <c r="D469" s="7">
        <v>5</v>
      </c>
      <c r="E469" s="1">
        <v>7</v>
      </c>
      <c r="F469" s="7">
        <v>5</v>
      </c>
      <c r="G469" s="7">
        <v>5</v>
      </c>
      <c r="H469" s="7">
        <v>5</v>
      </c>
      <c r="I469" s="7">
        <v>5</v>
      </c>
      <c r="J469" s="8">
        <v>5</v>
      </c>
    </row>
    <row r="470" spans="1:10" hidden="1" x14ac:dyDescent="0.25">
      <c r="A470" s="6">
        <v>509510</v>
      </c>
      <c r="B470" s="7">
        <v>2</v>
      </c>
      <c r="C470" s="7">
        <v>742.89280823716695</v>
      </c>
      <c r="D470" s="7">
        <v>7</v>
      </c>
      <c r="E470" s="1">
        <v>7</v>
      </c>
      <c r="F470" s="7">
        <v>5</v>
      </c>
      <c r="G470" s="7">
        <v>5</v>
      </c>
      <c r="H470" s="7">
        <v>5</v>
      </c>
      <c r="I470" s="7">
        <v>5</v>
      </c>
      <c r="J470" s="8">
        <v>5</v>
      </c>
    </row>
    <row r="471" spans="1:10" hidden="1" x14ac:dyDescent="0.25">
      <c r="A471" s="6">
        <v>509525</v>
      </c>
      <c r="B471" s="7">
        <v>2</v>
      </c>
      <c r="C471" s="7">
        <v>555.47336086809105</v>
      </c>
      <c r="D471" s="7">
        <v>7</v>
      </c>
      <c r="E471" s="1">
        <v>7</v>
      </c>
      <c r="F471" s="7">
        <v>5</v>
      </c>
      <c r="G471" s="7">
        <v>5</v>
      </c>
      <c r="H471" s="7">
        <v>5</v>
      </c>
      <c r="I471" s="7">
        <v>5</v>
      </c>
      <c r="J471" s="8">
        <v>5</v>
      </c>
    </row>
    <row r="472" spans="1:10" x14ac:dyDescent="0.25">
      <c r="A472" s="6">
        <v>509539</v>
      </c>
      <c r="B472" s="7">
        <v>2</v>
      </c>
      <c r="C472" s="7">
        <v>687.57213006323695</v>
      </c>
      <c r="D472" s="7">
        <v>8</v>
      </c>
      <c r="E472" s="1">
        <v>8</v>
      </c>
      <c r="F472" s="7">
        <v>5</v>
      </c>
      <c r="G472" s="7">
        <v>5</v>
      </c>
      <c r="H472" s="7">
        <v>5</v>
      </c>
      <c r="I472" s="7">
        <v>5</v>
      </c>
      <c r="J472" s="8">
        <v>5</v>
      </c>
    </row>
    <row r="473" spans="1:10" x14ac:dyDescent="0.25">
      <c r="A473" s="6">
        <v>509544</v>
      </c>
      <c r="B473" s="7">
        <v>2</v>
      </c>
      <c r="C473" s="7">
        <v>586.27239671279006</v>
      </c>
      <c r="D473" s="7">
        <v>6</v>
      </c>
      <c r="E473" s="1">
        <v>3</v>
      </c>
      <c r="F473" s="7">
        <v>5</v>
      </c>
      <c r="G473" s="7">
        <v>5</v>
      </c>
      <c r="H473" s="7">
        <v>5</v>
      </c>
      <c r="I473" s="7">
        <v>5</v>
      </c>
      <c r="J473" s="8">
        <v>5</v>
      </c>
    </row>
    <row r="474" spans="1:10" hidden="1" x14ac:dyDescent="0.25">
      <c r="A474" s="6">
        <v>509549</v>
      </c>
      <c r="B474" s="7">
        <v>2</v>
      </c>
      <c r="C474" s="7">
        <v>559.84501393937603</v>
      </c>
      <c r="D474" s="7">
        <v>4</v>
      </c>
      <c r="E474" s="1">
        <v>5</v>
      </c>
      <c r="F474" s="7">
        <v>5</v>
      </c>
      <c r="G474" s="7">
        <v>5</v>
      </c>
      <c r="H474" s="7">
        <v>5</v>
      </c>
      <c r="I474" s="7">
        <v>5</v>
      </c>
      <c r="J474" s="8">
        <v>5</v>
      </c>
    </row>
    <row r="475" spans="1:10" x14ac:dyDescent="0.25">
      <c r="A475" s="6">
        <v>509579</v>
      </c>
      <c r="B475" s="7">
        <v>2</v>
      </c>
      <c r="C475" s="7">
        <v>187.92075105198001</v>
      </c>
      <c r="D475" s="7">
        <v>8</v>
      </c>
      <c r="E475" s="1">
        <v>8</v>
      </c>
      <c r="F475" s="7">
        <v>5</v>
      </c>
      <c r="G475" s="7">
        <v>5</v>
      </c>
      <c r="H475" s="7">
        <v>5</v>
      </c>
      <c r="I475" s="7">
        <v>5</v>
      </c>
      <c r="J475" s="8">
        <v>5</v>
      </c>
    </row>
    <row r="476" spans="1:10" hidden="1" x14ac:dyDescent="0.25">
      <c r="A476" s="6">
        <v>509582</v>
      </c>
      <c r="B476" s="7">
        <v>1</v>
      </c>
      <c r="C476" s="7">
        <v>834.51213429967697</v>
      </c>
      <c r="D476" s="7">
        <v>2</v>
      </c>
      <c r="E476" s="1">
        <v>5</v>
      </c>
      <c r="F476" s="7">
        <v>5</v>
      </c>
      <c r="G476" s="7">
        <v>5</v>
      </c>
      <c r="H476" s="7">
        <v>5</v>
      </c>
      <c r="I476" s="7">
        <v>5</v>
      </c>
      <c r="J476" s="8">
        <v>5</v>
      </c>
    </row>
    <row r="477" spans="1:10" x14ac:dyDescent="0.25">
      <c r="A477" s="6">
        <v>509587</v>
      </c>
      <c r="B477" s="7">
        <v>2</v>
      </c>
      <c r="C477" s="7">
        <v>452.93932413813701</v>
      </c>
      <c r="D477" s="7">
        <v>6</v>
      </c>
      <c r="E477" s="1">
        <v>4</v>
      </c>
      <c r="F477" s="7">
        <v>5</v>
      </c>
      <c r="G477" s="7">
        <v>5</v>
      </c>
      <c r="H477" s="7">
        <v>5</v>
      </c>
      <c r="I477" s="7">
        <v>5</v>
      </c>
      <c r="J477" s="8">
        <v>5</v>
      </c>
    </row>
    <row r="478" spans="1:10" hidden="1" x14ac:dyDescent="0.25">
      <c r="A478" s="6">
        <v>509596</v>
      </c>
      <c r="B478" s="7">
        <v>1</v>
      </c>
      <c r="C478" s="7">
        <v>658.02886057221201</v>
      </c>
      <c r="D478" s="7">
        <v>4</v>
      </c>
      <c r="E478" s="1">
        <v>4</v>
      </c>
      <c r="F478" s="7">
        <v>5</v>
      </c>
      <c r="G478" s="7">
        <v>5</v>
      </c>
      <c r="H478" s="7">
        <v>5</v>
      </c>
      <c r="I478" s="7">
        <v>5</v>
      </c>
      <c r="J478" s="8">
        <v>5</v>
      </c>
    </row>
    <row r="479" spans="1:10" hidden="1" x14ac:dyDescent="0.25">
      <c r="A479" s="6">
        <v>509623</v>
      </c>
      <c r="B479" s="7">
        <v>2</v>
      </c>
      <c r="C479" s="7">
        <v>1262.3923003673101</v>
      </c>
      <c r="D479" s="7">
        <v>7</v>
      </c>
      <c r="E479" s="1">
        <v>7</v>
      </c>
      <c r="F479" s="7">
        <v>5</v>
      </c>
      <c r="G479" s="7">
        <v>5</v>
      </c>
      <c r="H479" s="7">
        <v>5</v>
      </c>
      <c r="I479" s="7">
        <v>5</v>
      </c>
      <c r="J479" s="8">
        <v>5</v>
      </c>
    </row>
    <row r="480" spans="1:10" x14ac:dyDescent="0.25">
      <c r="A480" s="6">
        <v>509677</v>
      </c>
      <c r="B480" s="7">
        <v>2</v>
      </c>
      <c r="C480" s="7">
        <v>27.394461742699999</v>
      </c>
      <c r="D480" s="7">
        <v>8</v>
      </c>
      <c r="E480" s="1">
        <v>6</v>
      </c>
      <c r="F480" s="7">
        <v>5</v>
      </c>
      <c r="G480" s="7">
        <v>5</v>
      </c>
      <c r="H480" s="7">
        <v>5</v>
      </c>
      <c r="I480" s="7">
        <v>5</v>
      </c>
      <c r="J480" s="8">
        <v>5</v>
      </c>
    </row>
    <row r="481" spans="1:10" x14ac:dyDescent="0.25">
      <c r="A481" s="6">
        <v>509725</v>
      </c>
      <c r="B481" s="7">
        <v>2</v>
      </c>
      <c r="C481" s="7">
        <v>967.82853803509602</v>
      </c>
      <c r="D481" s="7">
        <v>8</v>
      </c>
      <c r="E481" s="1">
        <v>8</v>
      </c>
      <c r="F481" s="7">
        <v>5</v>
      </c>
      <c r="G481" s="7">
        <v>5</v>
      </c>
      <c r="H481" s="7">
        <v>5</v>
      </c>
      <c r="I481" s="7">
        <v>5</v>
      </c>
      <c r="J481" s="8">
        <v>5</v>
      </c>
    </row>
    <row r="482" spans="1:10" hidden="1" x14ac:dyDescent="0.25">
      <c r="A482" s="6">
        <v>509762</v>
      </c>
      <c r="B482" s="7">
        <v>1</v>
      </c>
      <c r="C482" s="7">
        <v>638.27312522427701</v>
      </c>
      <c r="D482" s="7">
        <v>2</v>
      </c>
      <c r="E482" s="1">
        <v>5</v>
      </c>
      <c r="F482" s="7">
        <v>5</v>
      </c>
      <c r="G482" s="7">
        <v>5</v>
      </c>
      <c r="H482" s="7">
        <v>5</v>
      </c>
      <c r="I482" s="7">
        <v>5</v>
      </c>
      <c r="J482" s="8">
        <v>5</v>
      </c>
    </row>
    <row r="483" spans="1:10" hidden="1" x14ac:dyDescent="0.25">
      <c r="A483" s="6">
        <v>509764</v>
      </c>
      <c r="B483" s="7">
        <v>1</v>
      </c>
      <c r="C483" s="7">
        <v>807.17068633816302</v>
      </c>
      <c r="D483" s="7">
        <v>7</v>
      </c>
      <c r="E483" s="1">
        <v>7</v>
      </c>
      <c r="F483" s="7">
        <v>5</v>
      </c>
      <c r="G483" s="7">
        <v>5</v>
      </c>
      <c r="H483" s="7">
        <v>5</v>
      </c>
      <c r="I483" s="7">
        <v>5</v>
      </c>
      <c r="J483" s="8">
        <v>5</v>
      </c>
    </row>
    <row r="484" spans="1:10" x14ac:dyDescent="0.25">
      <c r="A484" s="6">
        <v>509769</v>
      </c>
      <c r="B484" s="7">
        <v>2</v>
      </c>
      <c r="C484" s="7">
        <v>264.36879852294601</v>
      </c>
      <c r="D484" s="7">
        <v>8</v>
      </c>
      <c r="E484" s="1">
        <v>8</v>
      </c>
      <c r="F484" s="7">
        <v>5</v>
      </c>
      <c r="G484" s="7">
        <v>5</v>
      </c>
      <c r="H484" s="7">
        <v>5</v>
      </c>
      <c r="I484" s="7">
        <v>5</v>
      </c>
      <c r="J484" s="8">
        <v>5</v>
      </c>
    </row>
    <row r="485" spans="1:10" hidden="1" x14ac:dyDescent="0.25">
      <c r="A485" s="6">
        <v>509801</v>
      </c>
      <c r="B485" s="7">
        <v>2</v>
      </c>
      <c r="C485" s="7">
        <v>187.688690289459</v>
      </c>
      <c r="D485" s="7">
        <v>5</v>
      </c>
      <c r="E485" s="1">
        <v>5</v>
      </c>
      <c r="F485" s="7">
        <v>5</v>
      </c>
      <c r="G485" s="7">
        <v>5</v>
      </c>
      <c r="H485" s="7">
        <v>5</v>
      </c>
      <c r="I485" s="7">
        <v>5</v>
      </c>
      <c r="J485" s="8">
        <v>5</v>
      </c>
    </row>
    <row r="486" spans="1:10" hidden="1" x14ac:dyDescent="0.25">
      <c r="A486" s="6">
        <v>509802</v>
      </c>
      <c r="B486" s="7">
        <v>1</v>
      </c>
      <c r="C486" s="7">
        <v>1342.0709141052</v>
      </c>
      <c r="D486" s="7">
        <v>2</v>
      </c>
      <c r="E486" s="1">
        <v>7</v>
      </c>
      <c r="F486" s="7">
        <v>5</v>
      </c>
      <c r="G486" s="7">
        <v>1</v>
      </c>
      <c r="H486" s="7">
        <v>1</v>
      </c>
      <c r="I486" s="7">
        <v>5</v>
      </c>
      <c r="J486" s="8">
        <v>5</v>
      </c>
    </row>
    <row r="487" spans="1:10" hidden="1" x14ac:dyDescent="0.25">
      <c r="A487" s="6">
        <v>509852</v>
      </c>
      <c r="B487" s="7">
        <v>1</v>
      </c>
      <c r="C487" s="7">
        <v>520.46465015749095</v>
      </c>
      <c r="D487" s="7">
        <v>2</v>
      </c>
      <c r="E487" s="1">
        <v>4</v>
      </c>
      <c r="F487" s="7">
        <v>5</v>
      </c>
      <c r="G487" s="7">
        <v>5</v>
      </c>
      <c r="H487" s="7">
        <v>5</v>
      </c>
      <c r="I487" s="7">
        <v>5</v>
      </c>
      <c r="J487" s="8">
        <v>5</v>
      </c>
    </row>
    <row r="488" spans="1:10" hidden="1" x14ac:dyDescent="0.25">
      <c r="A488" s="6">
        <v>509865</v>
      </c>
      <c r="B488" s="7">
        <v>2</v>
      </c>
      <c r="C488" s="7">
        <v>762.85025242496101</v>
      </c>
      <c r="D488" s="7">
        <v>2</v>
      </c>
      <c r="E488" s="1">
        <v>8</v>
      </c>
      <c r="F488" s="7">
        <v>5</v>
      </c>
      <c r="G488" s="7">
        <v>5</v>
      </c>
      <c r="H488" s="7">
        <v>5</v>
      </c>
      <c r="I488" s="7">
        <v>5</v>
      </c>
      <c r="J488" s="8">
        <v>5</v>
      </c>
    </row>
    <row r="489" spans="1:10" hidden="1" x14ac:dyDescent="0.25">
      <c r="A489" s="6">
        <v>509925</v>
      </c>
      <c r="B489" s="7">
        <v>2</v>
      </c>
      <c r="C489" s="7">
        <v>709.05933472646404</v>
      </c>
      <c r="D489" s="7">
        <v>5</v>
      </c>
      <c r="E489" s="1">
        <v>5</v>
      </c>
      <c r="F489" s="7">
        <v>5</v>
      </c>
      <c r="G489" s="7">
        <v>5</v>
      </c>
      <c r="H489" s="7">
        <v>5</v>
      </c>
      <c r="I489" s="7">
        <v>5</v>
      </c>
      <c r="J489" s="8">
        <v>5</v>
      </c>
    </row>
    <row r="490" spans="1:10" hidden="1" x14ac:dyDescent="0.25">
      <c r="A490" s="6">
        <v>509982</v>
      </c>
      <c r="B490" s="7">
        <v>1</v>
      </c>
      <c r="C490" s="7">
        <v>855.85094747626101</v>
      </c>
      <c r="D490" s="7">
        <v>4</v>
      </c>
      <c r="E490" s="1">
        <v>4</v>
      </c>
      <c r="F490" s="7">
        <v>5</v>
      </c>
      <c r="G490" s="7">
        <v>5</v>
      </c>
      <c r="H490" s="7">
        <v>5</v>
      </c>
      <c r="I490" s="7">
        <v>5</v>
      </c>
      <c r="J490" s="8">
        <v>5</v>
      </c>
    </row>
    <row r="491" spans="1:10" hidden="1" x14ac:dyDescent="0.25">
      <c r="A491" s="6">
        <v>509991</v>
      </c>
      <c r="B491" s="7">
        <v>2</v>
      </c>
      <c r="C491" s="7">
        <v>428.11036168920702</v>
      </c>
      <c r="D491" s="7">
        <v>7</v>
      </c>
      <c r="E491" s="1">
        <v>7</v>
      </c>
      <c r="F491" s="7">
        <v>5</v>
      </c>
      <c r="G491" s="7">
        <v>5</v>
      </c>
      <c r="H491" s="7">
        <v>5</v>
      </c>
      <c r="I491" s="7">
        <v>5</v>
      </c>
      <c r="J491" s="8">
        <v>5</v>
      </c>
    </row>
    <row r="492" spans="1:10" hidden="1" x14ac:dyDescent="0.25">
      <c r="A492" s="6">
        <v>509999</v>
      </c>
      <c r="B492" s="7">
        <v>2</v>
      </c>
      <c r="C492" s="7">
        <v>470.441419425454</v>
      </c>
      <c r="D492" s="7">
        <v>7</v>
      </c>
      <c r="E492" s="1">
        <v>7</v>
      </c>
      <c r="F492" s="7">
        <v>5</v>
      </c>
      <c r="G492" s="7">
        <v>5</v>
      </c>
      <c r="H492" s="7">
        <v>5</v>
      </c>
      <c r="I492" s="7">
        <v>5</v>
      </c>
      <c r="J492" s="8">
        <v>5</v>
      </c>
    </row>
    <row r="493" spans="1:10" hidden="1" x14ac:dyDescent="0.25">
      <c r="A493" s="6">
        <v>510082</v>
      </c>
      <c r="B493" s="7">
        <v>2</v>
      </c>
      <c r="C493" s="7">
        <v>97.304405648039705</v>
      </c>
      <c r="D493" s="7">
        <v>7</v>
      </c>
      <c r="E493" s="1">
        <v>7</v>
      </c>
      <c r="F493" s="7">
        <v>5</v>
      </c>
      <c r="G493" s="7">
        <v>5</v>
      </c>
      <c r="H493" s="7">
        <v>5</v>
      </c>
      <c r="I493" s="7">
        <v>5</v>
      </c>
      <c r="J493" s="8">
        <v>5</v>
      </c>
    </row>
    <row r="494" spans="1:10" hidden="1" x14ac:dyDescent="0.25">
      <c r="A494" s="6">
        <v>510083</v>
      </c>
      <c r="B494" s="7">
        <v>1</v>
      </c>
      <c r="C494" s="7">
        <v>172.51211704432299</v>
      </c>
      <c r="D494" s="7">
        <v>7</v>
      </c>
      <c r="E494" s="1">
        <v>7</v>
      </c>
      <c r="F494" s="7">
        <v>5</v>
      </c>
      <c r="G494" s="7">
        <v>5</v>
      </c>
      <c r="H494" s="7">
        <v>5</v>
      </c>
      <c r="I494" s="7">
        <v>5</v>
      </c>
      <c r="J494" s="8">
        <v>5</v>
      </c>
    </row>
    <row r="495" spans="1:10" hidden="1" x14ac:dyDescent="0.25">
      <c r="A495" s="6">
        <v>510096</v>
      </c>
      <c r="B495" s="7">
        <v>2</v>
      </c>
      <c r="C495" s="7">
        <v>194.80184457180201</v>
      </c>
      <c r="D495" s="7">
        <v>4</v>
      </c>
      <c r="E495" s="1">
        <v>4</v>
      </c>
      <c r="F495" s="7">
        <v>5</v>
      </c>
      <c r="G495" s="7">
        <v>5</v>
      </c>
      <c r="H495" s="7">
        <v>5</v>
      </c>
      <c r="I495" s="7">
        <v>5</v>
      </c>
      <c r="J495" s="8">
        <v>5</v>
      </c>
    </row>
    <row r="496" spans="1:10" x14ac:dyDescent="0.25">
      <c r="A496" s="6">
        <v>510112</v>
      </c>
      <c r="B496" s="7">
        <v>2</v>
      </c>
      <c r="C496" s="7">
        <v>298.32511686266702</v>
      </c>
      <c r="D496" s="7">
        <v>8</v>
      </c>
      <c r="E496" s="1">
        <v>8</v>
      </c>
      <c r="F496" s="7">
        <v>5</v>
      </c>
      <c r="G496" s="7">
        <v>5</v>
      </c>
      <c r="H496" s="7">
        <v>5</v>
      </c>
      <c r="I496" s="7">
        <v>5</v>
      </c>
      <c r="J496" s="8">
        <v>5</v>
      </c>
    </row>
    <row r="497" spans="1:10" hidden="1" x14ac:dyDescent="0.25">
      <c r="A497" s="6">
        <v>510143</v>
      </c>
      <c r="B497" s="7">
        <v>1</v>
      </c>
      <c r="C497" s="7">
        <v>851.22092693161403</v>
      </c>
      <c r="D497" s="7">
        <v>5</v>
      </c>
      <c r="E497" s="1">
        <v>5</v>
      </c>
      <c r="F497" s="7">
        <v>5</v>
      </c>
      <c r="G497" s="7">
        <v>5</v>
      </c>
      <c r="H497" s="7">
        <v>5</v>
      </c>
      <c r="I497" s="7">
        <v>5</v>
      </c>
      <c r="J497" s="8">
        <v>5</v>
      </c>
    </row>
    <row r="498" spans="1:10" hidden="1" x14ac:dyDescent="0.25">
      <c r="A498" s="6">
        <v>510176</v>
      </c>
      <c r="B498" s="7">
        <v>1</v>
      </c>
      <c r="C498" s="7">
        <v>550.08321648673802</v>
      </c>
      <c r="D498" s="7">
        <v>7</v>
      </c>
      <c r="E498" s="1">
        <v>7</v>
      </c>
      <c r="F498" s="7">
        <v>5</v>
      </c>
      <c r="G498" s="7">
        <v>5</v>
      </c>
      <c r="H498" s="7">
        <v>5</v>
      </c>
      <c r="I498" s="7">
        <v>5</v>
      </c>
      <c r="J498" s="8">
        <v>5</v>
      </c>
    </row>
    <row r="499" spans="1:10" hidden="1" x14ac:dyDescent="0.25">
      <c r="A499" s="6">
        <v>510235</v>
      </c>
      <c r="B499" s="7">
        <v>1</v>
      </c>
      <c r="C499" s="7">
        <v>697.92341439880795</v>
      </c>
      <c r="D499" s="7">
        <v>5</v>
      </c>
      <c r="E499" s="1">
        <v>5</v>
      </c>
      <c r="F499" s="7">
        <v>5</v>
      </c>
      <c r="G499" s="7">
        <v>5</v>
      </c>
      <c r="H499" s="7">
        <v>5</v>
      </c>
      <c r="I499" s="7">
        <v>5</v>
      </c>
      <c r="J499" s="8">
        <v>5</v>
      </c>
    </row>
    <row r="500" spans="1:10" hidden="1" x14ac:dyDescent="0.25">
      <c r="A500" s="6">
        <v>510309</v>
      </c>
      <c r="B500" s="7">
        <v>2</v>
      </c>
      <c r="C500" s="7">
        <v>801.53305256602403</v>
      </c>
      <c r="D500" s="7">
        <v>7</v>
      </c>
      <c r="E500" s="1">
        <v>7</v>
      </c>
      <c r="F500" s="7">
        <v>5</v>
      </c>
      <c r="G500" s="7">
        <v>5</v>
      </c>
      <c r="H500" s="7">
        <v>5</v>
      </c>
      <c r="I500" s="7">
        <v>5</v>
      </c>
      <c r="J500" s="8">
        <v>5</v>
      </c>
    </row>
    <row r="501" spans="1:10" hidden="1" x14ac:dyDescent="0.25">
      <c r="A501" s="6">
        <v>510314</v>
      </c>
      <c r="B501" s="7">
        <v>2</v>
      </c>
      <c r="C501" s="7">
        <v>313.92837519834001</v>
      </c>
      <c r="D501" s="7">
        <v>5</v>
      </c>
      <c r="E501" s="1">
        <v>5</v>
      </c>
      <c r="F501" s="7">
        <v>5</v>
      </c>
      <c r="G501" s="7">
        <v>5</v>
      </c>
      <c r="H501" s="7">
        <v>5</v>
      </c>
      <c r="I501" s="7">
        <v>5</v>
      </c>
      <c r="J501" s="8">
        <v>5</v>
      </c>
    </row>
    <row r="502" spans="1:10" hidden="1" x14ac:dyDescent="0.25">
      <c r="A502" s="6">
        <v>510413</v>
      </c>
      <c r="B502" s="7">
        <v>1</v>
      </c>
      <c r="C502" s="7">
        <v>926.08703295267605</v>
      </c>
      <c r="D502" s="7">
        <v>1</v>
      </c>
      <c r="E502" s="1">
        <v>5</v>
      </c>
      <c r="F502" s="7">
        <v>5</v>
      </c>
      <c r="G502" s="7">
        <v>5</v>
      </c>
      <c r="H502" s="7">
        <v>5</v>
      </c>
      <c r="I502" s="7">
        <v>5</v>
      </c>
      <c r="J502" s="8">
        <v>5</v>
      </c>
    </row>
    <row r="503" spans="1:10" hidden="1" x14ac:dyDescent="0.25">
      <c r="A503" s="6">
        <v>510414</v>
      </c>
      <c r="B503" s="7">
        <v>1</v>
      </c>
      <c r="C503" s="7">
        <v>709.998595373743</v>
      </c>
      <c r="D503" s="7">
        <v>2</v>
      </c>
      <c r="E503" s="1">
        <v>5</v>
      </c>
      <c r="F503" s="7">
        <v>5</v>
      </c>
      <c r="G503" s="7">
        <v>5</v>
      </c>
      <c r="H503" s="7">
        <v>5</v>
      </c>
      <c r="I503" s="7">
        <v>5</v>
      </c>
      <c r="J503" s="8">
        <v>5</v>
      </c>
    </row>
    <row r="504" spans="1:10" hidden="1" x14ac:dyDescent="0.25">
      <c r="A504" s="6">
        <v>510435</v>
      </c>
      <c r="B504" s="7">
        <v>1</v>
      </c>
      <c r="C504" s="7">
        <v>1000.4314364243201</v>
      </c>
      <c r="D504" s="7">
        <v>2</v>
      </c>
      <c r="E504" s="1">
        <v>5</v>
      </c>
      <c r="F504" s="7">
        <v>5</v>
      </c>
      <c r="G504" s="7">
        <v>5</v>
      </c>
      <c r="H504" s="7">
        <v>5</v>
      </c>
      <c r="I504" s="7">
        <v>5</v>
      </c>
      <c r="J504" s="8">
        <v>5</v>
      </c>
    </row>
    <row r="505" spans="1:10" hidden="1" x14ac:dyDescent="0.25">
      <c r="A505" s="6">
        <v>510437</v>
      </c>
      <c r="B505" s="7">
        <v>1</v>
      </c>
      <c r="C505" s="7">
        <v>574.59663752889105</v>
      </c>
      <c r="D505" s="7">
        <v>5</v>
      </c>
      <c r="E505" s="1">
        <v>5</v>
      </c>
      <c r="F505" s="7">
        <v>5</v>
      </c>
      <c r="G505" s="7">
        <v>5</v>
      </c>
      <c r="H505" s="7">
        <v>5</v>
      </c>
      <c r="I505" s="7">
        <v>5</v>
      </c>
      <c r="J505" s="8">
        <v>5</v>
      </c>
    </row>
    <row r="506" spans="1:10" hidden="1" x14ac:dyDescent="0.25">
      <c r="A506" s="6">
        <v>510471</v>
      </c>
      <c r="B506" s="7">
        <v>2</v>
      </c>
      <c r="C506" s="7">
        <v>415.13171259767302</v>
      </c>
      <c r="D506" s="7">
        <v>5</v>
      </c>
      <c r="E506" s="1">
        <v>5</v>
      </c>
      <c r="F506" s="7">
        <v>5</v>
      </c>
      <c r="G506" s="7">
        <v>5</v>
      </c>
      <c r="H506" s="7">
        <v>5</v>
      </c>
      <c r="I506" s="7">
        <v>5</v>
      </c>
      <c r="J506" s="8">
        <v>5</v>
      </c>
    </row>
    <row r="507" spans="1:10" hidden="1" x14ac:dyDescent="0.25">
      <c r="A507" s="6">
        <v>510488</v>
      </c>
      <c r="B507" s="7">
        <v>2</v>
      </c>
      <c r="C507" s="7">
        <v>752.937526599183</v>
      </c>
      <c r="D507" s="7">
        <v>5</v>
      </c>
      <c r="E507" s="1">
        <v>5</v>
      </c>
      <c r="F507" s="7">
        <v>5</v>
      </c>
      <c r="G507" s="7">
        <v>5</v>
      </c>
      <c r="H507" s="7">
        <v>5</v>
      </c>
      <c r="I507" s="7">
        <v>5</v>
      </c>
      <c r="J507" s="8">
        <v>5</v>
      </c>
    </row>
    <row r="508" spans="1:10" x14ac:dyDescent="0.25">
      <c r="A508" s="6">
        <v>510505</v>
      </c>
      <c r="B508" s="7">
        <v>2</v>
      </c>
      <c r="C508" s="7">
        <v>833.56411460500703</v>
      </c>
      <c r="D508" s="7">
        <v>8</v>
      </c>
      <c r="E508" s="1">
        <v>8</v>
      </c>
      <c r="F508" s="7">
        <v>5</v>
      </c>
      <c r="G508" s="7">
        <v>5</v>
      </c>
      <c r="H508" s="7">
        <v>5</v>
      </c>
      <c r="I508" s="7">
        <v>5</v>
      </c>
      <c r="J508" s="8">
        <v>5</v>
      </c>
    </row>
    <row r="509" spans="1:10" hidden="1" x14ac:dyDescent="0.25">
      <c r="A509" s="6">
        <v>510510</v>
      </c>
      <c r="B509" s="7">
        <v>1</v>
      </c>
      <c r="C509" s="7">
        <v>1381.1152534062701</v>
      </c>
      <c r="D509" s="7">
        <v>2</v>
      </c>
      <c r="E509" s="1">
        <v>5</v>
      </c>
      <c r="F509" s="7">
        <v>5</v>
      </c>
      <c r="G509" s="7">
        <v>5</v>
      </c>
      <c r="H509" s="7">
        <v>5</v>
      </c>
      <c r="I509" s="7">
        <v>5</v>
      </c>
      <c r="J509" s="8">
        <v>5</v>
      </c>
    </row>
    <row r="510" spans="1:10" hidden="1" x14ac:dyDescent="0.25">
      <c r="A510" s="6">
        <v>510511</v>
      </c>
      <c r="B510" s="7">
        <v>1</v>
      </c>
      <c r="C510" s="7">
        <v>1512.9940722680799</v>
      </c>
      <c r="D510" s="7">
        <v>7</v>
      </c>
      <c r="E510" s="1">
        <v>7</v>
      </c>
      <c r="F510" s="7">
        <v>5</v>
      </c>
      <c r="G510" s="7">
        <v>5</v>
      </c>
      <c r="H510" s="7">
        <v>5</v>
      </c>
      <c r="I510" s="7">
        <v>5</v>
      </c>
      <c r="J510" s="8">
        <v>5</v>
      </c>
    </row>
    <row r="511" spans="1:10" hidden="1" x14ac:dyDescent="0.25">
      <c r="A511" s="6">
        <v>510514</v>
      </c>
      <c r="B511" s="7">
        <v>2</v>
      </c>
      <c r="C511" s="7">
        <v>807.24966614967002</v>
      </c>
      <c r="D511" s="7">
        <v>7</v>
      </c>
      <c r="E511" s="1">
        <v>7</v>
      </c>
      <c r="F511" s="7">
        <v>5</v>
      </c>
      <c r="G511" s="7">
        <v>5</v>
      </c>
      <c r="H511" s="7">
        <v>5</v>
      </c>
      <c r="I511" s="7">
        <v>5</v>
      </c>
      <c r="J511" s="8">
        <v>5</v>
      </c>
    </row>
    <row r="512" spans="1:10" x14ac:dyDescent="0.25">
      <c r="A512" s="6">
        <v>510533</v>
      </c>
      <c r="B512" s="7">
        <v>2</v>
      </c>
      <c r="C512" s="7">
        <v>192.62680627665699</v>
      </c>
      <c r="D512" s="7">
        <v>8</v>
      </c>
      <c r="E512" s="1">
        <v>8</v>
      </c>
      <c r="F512" s="7">
        <v>1</v>
      </c>
      <c r="G512" s="7">
        <v>1</v>
      </c>
      <c r="H512" s="7">
        <v>1</v>
      </c>
      <c r="I512" s="7">
        <v>1</v>
      </c>
      <c r="J512" s="8">
        <v>1</v>
      </c>
    </row>
    <row r="513" spans="1:10" hidden="1" x14ac:dyDescent="0.25">
      <c r="A513" s="6">
        <v>510540</v>
      </c>
      <c r="B513" s="7">
        <v>2</v>
      </c>
      <c r="C513" s="7">
        <v>793.54915762020596</v>
      </c>
      <c r="D513" s="7">
        <v>7</v>
      </c>
      <c r="E513" s="1">
        <v>7</v>
      </c>
      <c r="F513" s="7">
        <v>5</v>
      </c>
      <c r="G513" s="7">
        <v>1</v>
      </c>
      <c r="H513" s="7">
        <v>1</v>
      </c>
      <c r="I513" s="7">
        <v>1</v>
      </c>
      <c r="J513" s="8">
        <v>1</v>
      </c>
    </row>
    <row r="514" spans="1:10" hidden="1" x14ac:dyDescent="0.25">
      <c r="A514" s="6">
        <v>510562</v>
      </c>
      <c r="B514" s="7">
        <v>1</v>
      </c>
      <c r="C514" s="7">
        <v>757.96765654580395</v>
      </c>
      <c r="D514" s="7">
        <v>2</v>
      </c>
      <c r="E514" s="1">
        <v>9</v>
      </c>
      <c r="F514" s="7">
        <v>5</v>
      </c>
      <c r="G514" s="7">
        <v>5</v>
      </c>
      <c r="H514" s="7">
        <v>5</v>
      </c>
      <c r="I514" s="7">
        <v>5</v>
      </c>
      <c r="J514" s="8">
        <v>5</v>
      </c>
    </row>
    <row r="515" spans="1:10" hidden="1" x14ac:dyDescent="0.25">
      <c r="A515" s="6">
        <v>510570</v>
      </c>
      <c r="B515" s="7">
        <v>1</v>
      </c>
      <c r="C515" s="7">
        <v>596.30318007470396</v>
      </c>
      <c r="D515" s="7">
        <v>4</v>
      </c>
      <c r="E515" s="1">
        <v>4</v>
      </c>
      <c r="F515" s="7">
        <v>5</v>
      </c>
      <c r="G515" s="7">
        <v>5</v>
      </c>
      <c r="H515" s="7">
        <v>5</v>
      </c>
      <c r="I515" s="7">
        <v>5</v>
      </c>
      <c r="J515" s="8">
        <v>5</v>
      </c>
    </row>
    <row r="516" spans="1:10" hidden="1" x14ac:dyDescent="0.25">
      <c r="A516" s="6">
        <v>510595</v>
      </c>
      <c r="B516" s="7">
        <v>2</v>
      </c>
      <c r="C516" s="7">
        <v>26.9878068724115</v>
      </c>
      <c r="D516" s="7">
        <v>5</v>
      </c>
      <c r="E516" s="1">
        <v>4</v>
      </c>
      <c r="F516" s="7">
        <v>5</v>
      </c>
      <c r="G516" s="7">
        <v>5</v>
      </c>
      <c r="H516" s="7">
        <v>5</v>
      </c>
      <c r="I516" s="7">
        <v>5</v>
      </c>
      <c r="J516" s="8">
        <v>5</v>
      </c>
    </row>
    <row r="517" spans="1:10" hidden="1" x14ac:dyDescent="0.25">
      <c r="A517" s="6">
        <v>510597</v>
      </c>
      <c r="B517" s="7">
        <v>1</v>
      </c>
      <c r="C517" s="7">
        <v>177.997083402502</v>
      </c>
      <c r="D517" s="7">
        <v>2</v>
      </c>
      <c r="E517" s="1">
        <v>7</v>
      </c>
      <c r="F517" s="7">
        <v>5</v>
      </c>
      <c r="G517" s="7">
        <v>5</v>
      </c>
      <c r="H517" s="7">
        <v>5</v>
      </c>
      <c r="I517" s="7">
        <v>5</v>
      </c>
      <c r="J517" s="8">
        <v>5</v>
      </c>
    </row>
    <row r="518" spans="1:10" hidden="1" x14ac:dyDescent="0.25">
      <c r="A518" s="6">
        <v>510598</v>
      </c>
      <c r="B518" s="7">
        <v>1</v>
      </c>
      <c r="C518" s="7">
        <v>570.55256269716597</v>
      </c>
      <c r="D518" s="7">
        <v>2</v>
      </c>
      <c r="E518" s="1">
        <v>5</v>
      </c>
      <c r="F518" s="7">
        <v>5</v>
      </c>
      <c r="G518" s="7">
        <v>5</v>
      </c>
      <c r="H518" s="7">
        <v>5</v>
      </c>
      <c r="I518" s="7">
        <v>5</v>
      </c>
      <c r="J518" s="8">
        <v>5</v>
      </c>
    </row>
    <row r="519" spans="1:10" hidden="1" x14ac:dyDescent="0.25">
      <c r="A519" s="6">
        <v>510637</v>
      </c>
      <c r="B519" s="7">
        <v>1</v>
      </c>
      <c r="C519" s="7">
        <v>425.42655611707602</v>
      </c>
      <c r="D519" s="7">
        <v>3</v>
      </c>
      <c r="E519" s="1">
        <v>3</v>
      </c>
      <c r="F519" s="7">
        <v>5</v>
      </c>
      <c r="G519" s="7">
        <v>5</v>
      </c>
      <c r="H519" s="7">
        <v>5</v>
      </c>
      <c r="I519" s="7">
        <v>5</v>
      </c>
      <c r="J519" s="8">
        <v>5</v>
      </c>
    </row>
    <row r="520" spans="1:10" hidden="1" x14ac:dyDescent="0.25">
      <c r="A520" s="6">
        <v>510638</v>
      </c>
      <c r="B520" s="7">
        <v>2</v>
      </c>
      <c r="C520" s="7">
        <v>26.9878068724115</v>
      </c>
      <c r="D520" s="7">
        <v>7</v>
      </c>
      <c r="E520" s="1">
        <v>7</v>
      </c>
      <c r="F520" s="7">
        <v>5</v>
      </c>
      <c r="G520" s="7">
        <v>5</v>
      </c>
      <c r="H520" s="7">
        <v>5</v>
      </c>
      <c r="I520" s="7">
        <v>5</v>
      </c>
      <c r="J520" s="8">
        <v>5</v>
      </c>
    </row>
    <row r="521" spans="1:10" hidden="1" x14ac:dyDescent="0.25">
      <c r="A521" s="6">
        <v>510642</v>
      </c>
      <c r="B521" s="7">
        <v>1</v>
      </c>
      <c r="C521" s="7">
        <v>786.50832487197704</v>
      </c>
      <c r="D521" s="7">
        <v>2</v>
      </c>
      <c r="E521" s="1">
        <v>5</v>
      </c>
      <c r="F521" s="7">
        <v>5</v>
      </c>
      <c r="G521" s="7">
        <v>5</v>
      </c>
      <c r="H521" s="7">
        <v>5</v>
      </c>
      <c r="I521" s="7">
        <v>5</v>
      </c>
      <c r="J521" s="8">
        <v>5</v>
      </c>
    </row>
    <row r="522" spans="1:10" hidden="1" x14ac:dyDescent="0.25">
      <c r="A522" s="6">
        <v>510659</v>
      </c>
      <c r="B522" s="7">
        <v>2</v>
      </c>
      <c r="C522" s="7">
        <v>294.21130968294102</v>
      </c>
      <c r="D522" s="7">
        <v>7</v>
      </c>
      <c r="E522" s="1">
        <v>7</v>
      </c>
      <c r="F522" s="7">
        <v>5</v>
      </c>
      <c r="G522" s="7">
        <v>5</v>
      </c>
      <c r="H522" s="7">
        <v>5</v>
      </c>
      <c r="I522" s="7">
        <v>5</v>
      </c>
      <c r="J522" s="8">
        <v>5</v>
      </c>
    </row>
    <row r="523" spans="1:10" hidden="1" x14ac:dyDescent="0.25">
      <c r="A523" s="6">
        <v>510665</v>
      </c>
      <c r="B523" s="7">
        <v>2</v>
      </c>
      <c r="C523" s="7">
        <v>261.80408438348297</v>
      </c>
      <c r="D523" s="7">
        <v>7</v>
      </c>
      <c r="E523" s="1">
        <v>7</v>
      </c>
      <c r="F523" s="7">
        <v>5</v>
      </c>
      <c r="G523" s="7">
        <v>5</v>
      </c>
      <c r="H523" s="7">
        <v>5</v>
      </c>
      <c r="I523" s="7">
        <v>5</v>
      </c>
      <c r="J523" s="8">
        <v>5</v>
      </c>
    </row>
    <row r="524" spans="1:10" hidden="1" x14ac:dyDescent="0.25">
      <c r="A524" s="6">
        <v>510670</v>
      </c>
      <c r="B524" s="7">
        <v>1</v>
      </c>
      <c r="C524" s="7">
        <v>1199.9580264506701</v>
      </c>
      <c r="D524" s="7">
        <v>7</v>
      </c>
      <c r="E524" s="1">
        <v>7</v>
      </c>
      <c r="F524" s="7">
        <v>5</v>
      </c>
      <c r="G524" s="7">
        <v>5</v>
      </c>
      <c r="H524" s="7">
        <v>5</v>
      </c>
      <c r="I524" s="7">
        <v>5</v>
      </c>
      <c r="J524" s="8">
        <v>5</v>
      </c>
    </row>
    <row r="525" spans="1:10" x14ac:dyDescent="0.25">
      <c r="A525" s="6">
        <v>510673</v>
      </c>
      <c r="B525" s="7">
        <v>2</v>
      </c>
      <c r="C525" s="7">
        <v>421.15724942900601</v>
      </c>
      <c r="D525" s="7">
        <v>6</v>
      </c>
      <c r="E525" s="1">
        <v>6</v>
      </c>
      <c r="F525" s="7">
        <v>5</v>
      </c>
      <c r="G525" s="7">
        <v>5</v>
      </c>
      <c r="H525" s="7">
        <v>5</v>
      </c>
      <c r="I525" s="7">
        <v>5</v>
      </c>
      <c r="J525" s="8">
        <v>5</v>
      </c>
    </row>
    <row r="526" spans="1:10" hidden="1" x14ac:dyDescent="0.25">
      <c r="A526" s="6">
        <v>510694</v>
      </c>
      <c r="B526" s="7">
        <v>1</v>
      </c>
      <c r="C526" s="7">
        <v>76.489913907124105</v>
      </c>
      <c r="D526" s="7">
        <v>4</v>
      </c>
      <c r="E526" s="1">
        <v>4</v>
      </c>
      <c r="F526" s="7">
        <v>5</v>
      </c>
      <c r="G526" s="7">
        <v>5</v>
      </c>
      <c r="H526" s="7">
        <v>5</v>
      </c>
      <c r="I526" s="7">
        <v>5</v>
      </c>
      <c r="J526" s="8">
        <v>5</v>
      </c>
    </row>
    <row r="527" spans="1:10" x14ac:dyDescent="0.25">
      <c r="A527" s="6">
        <v>510796</v>
      </c>
      <c r="B527" s="7">
        <v>1</v>
      </c>
      <c r="C527" s="7">
        <v>71.508427917374405</v>
      </c>
      <c r="D527" s="7">
        <v>6</v>
      </c>
      <c r="E527" s="1">
        <v>6</v>
      </c>
      <c r="F527" s="7">
        <v>5</v>
      </c>
      <c r="G527" s="7">
        <v>5</v>
      </c>
      <c r="H527" s="7">
        <v>5</v>
      </c>
      <c r="I527" s="7">
        <v>5</v>
      </c>
      <c r="J527" s="8">
        <v>5</v>
      </c>
    </row>
    <row r="528" spans="1:10" hidden="1" x14ac:dyDescent="0.25">
      <c r="A528" s="6">
        <v>510813</v>
      </c>
      <c r="B528" s="7">
        <v>2</v>
      </c>
      <c r="C528" s="7">
        <v>506.889813467517</v>
      </c>
      <c r="D528" s="7">
        <v>5</v>
      </c>
      <c r="E528" s="1">
        <v>5</v>
      </c>
      <c r="F528" s="7">
        <v>5</v>
      </c>
      <c r="G528" s="7">
        <v>5</v>
      </c>
      <c r="H528" s="7">
        <v>5</v>
      </c>
      <c r="I528" s="7">
        <v>5</v>
      </c>
      <c r="J528" s="8">
        <v>5</v>
      </c>
    </row>
    <row r="529" spans="1:10" hidden="1" x14ac:dyDescent="0.25">
      <c r="A529" s="6">
        <v>510816</v>
      </c>
      <c r="B529" s="7">
        <v>1</v>
      </c>
      <c r="C529" s="7">
        <v>533.96136465255404</v>
      </c>
      <c r="D529" s="7">
        <v>5</v>
      </c>
      <c r="E529" s="1">
        <v>5</v>
      </c>
      <c r="F529" s="7">
        <v>5</v>
      </c>
      <c r="G529" s="7">
        <v>5</v>
      </c>
      <c r="H529" s="7">
        <v>5</v>
      </c>
      <c r="I529" s="7">
        <v>5</v>
      </c>
      <c r="J529" s="8">
        <v>5</v>
      </c>
    </row>
    <row r="530" spans="1:10" hidden="1" x14ac:dyDescent="0.25">
      <c r="A530" s="6">
        <v>510827</v>
      </c>
      <c r="B530" s="7">
        <v>1</v>
      </c>
      <c r="C530" s="7">
        <v>554.06367398089503</v>
      </c>
      <c r="D530" s="7">
        <v>3</v>
      </c>
      <c r="E530" s="1">
        <v>3</v>
      </c>
      <c r="F530" s="7">
        <v>5</v>
      </c>
      <c r="G530" s="7">
        <v>5</v>
      </c>
      <c r="H530" s="7">
        <v>5</v>
      </c>
      <c r="I530" s="7">
        <v>5</v>
      </c>
      <c r="J530" s="8">
        <v>5</v>
      </c>
    </row>
    <row r="531" spans="1:10" x14ac:dyDescent="0.25">
      <c r="A531" s="6">
        <v>510828</v>
      </c>
      <c r="B531" s="7">
        <v>2</v>
      </c>
      <c r="C531" s="7">
        <v>32.317664833067703</v>
      </c>
      <c r="D531" s="7">
        <v>8</v>
      </c>
      <c r="E531" s="1">
        <v>8</v>
      </c>
      <c r="F531" s="7">
        <v>5</v>
      </c>
      <c r="G531" s="7">
        <v>5</v>
      </c>
      <c r="H531" s="7">
        <v>5</v>
      </c>
      <c r="I531" s="7">
        <v>5</v>
      </c>
      <c r="J531" s="8">
        <v>5</v>
      </c>
    </row>
    <row r="532" spans="1:10" hidden="1" x14ac:dyDescent="0.25">
      <c r="A532" s="6">
        <v>510855</v>
      </c>
      <c r="B532" s="7">
        <v>1</v>
      </c>
      <c r="C532" s="7">
        <v>132.48515758921201</v>
      </c>
      <c r="D532" s="7">
        <v>4</v>
      </c>
      <c r="E532" s="1">
        <v>4</v>
      </c>
      <c r="F532" s="7">
        <v>5</v>
      </c>
      <c r="G532" s="7">
        <v>5</v>
      </c>
      <c r="H532" s="7">
        <v>5</v>
      </c>
      <c r="I532" s="7">
        <v>5</v>
      </c>
      <c r="J532" s="8">
        <v>5</v>
      </c>
    </row>
    <row r="533" spans="1:10" hidden="1" x14ac:dyDescent="0.25">
      <c r="A533" s="6">
        <v>510858</v>
      </c>
      <c r="B533" s="7">
        <v>2</v>
      </c>
      <c r="C533" s="7">
        <v>254.831449671841</v>
      </c>
      <c r="D533" s="7">
        <v>5</v>
      </c>
      <c r="E533" s="1">
        <v>5</v>
      </c>
      <c r="F533" s="7">
        <v>5</v>
      </c>
      <c r="G533" s="7">
        <v>5</v>
      </c>
      <c r="H533" s="7">
        <v>5</v>
      </c>
      <c r="I533" s="7">
        <v>5</v>
      </c>
      <c r="J533" s="8">
        <v>5</v>
      </c>
    </row>
    <row r="534" spans="1:10" hidden="1" x14ac:dyDescent="0.25">
      <c r="A534" s="6">
        <v>510874</v>
      </c>
      <c r="B534" s="7">
        <v>1</v>
      </c>
      <c r="C534" s="7">
        <v>658.17829461202996</v>
      </c>
      <c r="D534" s="7">
        <v>1</v>
      </c>
      <c r="E534" s="1">
        <v>5</v>
      </c>
      <c r="F534" s="7">
        <v>5</v>
      </c>
      <c r="G534" s="7">
        <v>5</v>
      </c>
      <c r="H534" s="7">
        <v>5</v>
      </c>
      <c r="I534" s="7">
        <v>5</v>
      </c>
      <c r="J534" s="8">
        <v>5</v>
      </c>
    </row>
    <row r="535" spans="1:10" hidden="1" x14ac:dyDescent="0.25">
      <c r="A535" s="6">
        <v>510894</v>
      </c>
      <c r="B535" s="7">
        <v>1</v>
      </c>
      <c r="C535" s="7">
        <v>1017.22238615449</v>
      </c>
      <c r="D535" s="7">
        <v>4</v>
      </c>
      <c r="E535" s="1">
        <v>4</v>
      </c>
      <c r="F535" s="7">
        <v>5</v>
      </c>
      <c r="G535" s="7">
        <v>5</v>
      </c>
      <c r="H535" s="7">
        <v>5</v>
      </c>
      <c r="I535" s="7">
        <v>5</v>
      </c>
      <c r="J535" s="8">
        <v>5</v>
      </c>
    </row>
    <row r="536" spans="1:10" x14ac:dyDescent="0.25">
      <c r="A536" s="6">
        <v>510899</v>
      </c>
      <c r="B536" s="7">
        <v>2</v>
      </c>
      <c r="C536" s="7">
        <v>889.49204674003704</v>
      </c>
      <c r="D536" s="7">
        <v>6</v>
      </c>
      <c r="E536" s="1">
        <v>7</v>
      </c>
      <c r="F536" s="7">
        <v>5</v>
      </c>
      <c r="G536" s="7">
        <v>5</v>
      </c>
      <c r="H536" s="7">
        <v>5</v>
      </c>
      <c r="I536" s="7">
        <v>5</v>
      </c>
      <c r="J536" s="8">
        <v>5</v>
      </c>
    </row>
    <row r="537" spans="1:10" hidden="1" x14ac:dyDescent="0.25">
      <c r="A537" s="6">
        <v>510936</v>
      </c>
      <c r="B537" s="7">
        <v>1</v>
      </c>
      <c r="C537" s="7">
        <v>1062.6379834623699</v>
      </c>
      <c r="D537" s="7">
        <v>7</v>
      </c>
      <c r="E537" s="1">
        <v>7</v>
      </c>
      <c r="F537" s="7">
        <v>5</v>
      </c>
      <c r="G537" s="7">
        <v>5</v>
      </c>
      <c r="H537" s="7">
        <v>5</v>
      </c>
      <c r="I537" s="7">
        <v>5</v>
      </c>
      <c r="J537" s="8">
        <v>5</v>
      </c>
    </row>
    <row r="538" spans="1:10" hidden="1" x14ac:dyDescent="0.25">
      <c r="A538" s="6">
        <v>510960</v>
      </c>
      <c r="B538" s="7">
        <v>1</v>
      </c>
      <c r="C538" s="7">
        <v>602.71278090310295</v>
      </c>
      <c r="D538" s="7">
        <v>5</v>
      </c>
      <c r="E538" s="1">
        <v>5</v>
      </c>
      <c r="F538" s="7">
        <v>5</v>
      </c>
      <c r="G538" s="7">
        <v>5</v>
      </c>
      <c r="H538" s="7">
        <v>5</v>
      </c>
      <c r="I538" s="7">
        <v>5</v>
      </c>
      <c r="J538" s="8">
        <v>5</v>
      </c>
    </row>
    <row r="539" spans="1:10" hidden="1" x14ac:dyDescent="0.25">
      <c r="A539" s="6">
        <v>510984</v>
      </c>
      <c r="B539" s="7">
        <v>2</v>
      </c>
      <c r="C539" s="7">
        <v>242.97882410570901</v>
      </c>
      <c r="D539" s="7">
        <v>7</v>
      </c>
      <c r="E539" s="1">
        <v>7</v>
      </c>
      <c r="F539" s="7">
        <v>5</v>
      </c>
      <c r="G539" s="7">
        <v>5</v>
      </c>
      <c r="H539" s="7">
        <v>5</v>
      </c>
      <c r="I539" s="7">
        <v>5</v>
      </c>
      <c r="J539" s="8">
        <v>5</v>
      </c>
    </row>
    <row r="540" spans="1:10" x14ac:dyDescent="0.25">
      <c r="A540" s="6">
        <v>510992</v>
      </c>
      <c r="B540" s="7">
        <v>2</v>
      </c>
      <c r="C540" s="7">
        <v>25.6874968577748</v>
      </c>
      <c r="D540" s="7">
        <v>8</v>
      </c>
      <c r="E540" s="1">
        <v>8</v>
      </c>
      <c r="F540" s="7">
        <v>5</v>
      </c>
      <c r="G540" s="7">
        <v>5</v>
      </c>
      <c r="H540" s="7">
        <v>5</v>
      </c>
      <c r="I540" s="7">
        <v>5</v>
      </c>
      <c r="J540" s="8">
        <v>5</v>
      </c>
    </row>
    <row r="541" spans="1:10" hidden="1" x14ac:dyDescent="0.25">
      <c r="A541" s="6">
        <v>511011</v>
      </c>
      <c r="B541" s="7">
        <v>2</v>
      </c>
      <c r="C541" s="7">
        <v>659.72973258869104</v>
      </c>
      <c r="D541" s="7">
        <v>7</v>
      </c>
      <c r="E541" s="1">
        <v>7</v>
      </c>
      <c r="F541" s="7">
        <v>5</v>
      </c>
      <c r="G541" s="7">
        <v>5</v>
      </c>
      <c r="H541" s="7">
        <v>5</v>
      </c>
      <c r="I541" s="7">
        <v>5</v>
      </c>
      <c r="J541" s="8">
        <v>5</v>
      </c>
    </row>
    <row r="542" spans="1:10" hidden="1" x14ac:dyDescent="0.25">
      <c r="A542" s="6">
        <v>511023</v>
      </c>
      <c r="B542" s="7">
        <v>2</v>
      </c>
      <c r="C542" s="7">
        <v>395.11635106703801</v>
      </c>
      <c r="D542" s="7">
        <v>7</v>
      </c>
      <c r="E542" s="1">
        <v>7</v>
      </c>
      <c r="F542" s="7">
        <v>5</v>
      </c>
      <c r="G542" s="7">
        <v>5</v>
      </c>
      <c r="H542" s="7">
        <v>5</v>
      </c>
      <c r="I542" s="7">
        <v>5</v>
      </c>
      <c r="J542" s="8">
        <v>5</v>
      </c>
    </row>
    <row r="543" spans="1:10" x14ac:dyDescent="0.25">
      <c r="A543" s="6">
        <v>511088</v>
      </c>
      <c r="B543" s="7">
        <v>1</v>
      </c>
      <c r="C543" s="7">
        <v>879.21075547179305</v>
      </c>
      <c r="D543" s="7">
        <v>6</v>
      </c>
      <c r="E543" s="1">
        <v>6</v>
      </c>
      <c r="F543" s="7">
        <v>5</v>
      </c>
      <c r="G543" s="7">
        <v>5</v>
      </c>
      <c r="H543" s="7">
        <v>5</v>
      </c>
      <c r="I543" s="7">
        <v>5</v>
      </c>
      <c r="J543" s="8">
        <v>5</v>
      </c>
    </row>
    <row r="544" spans="1:10" hidden="1" x14ac:dyDescent="0.25">
      <c r="A544" s="6">
        <v>511134</v>
      </c>
      <c r="B544" s="7">
        <v>1</v>
      </c>
      <c r="C544" s="7">
        <v>639.93121834324495</v>
      </c>
      <c r="D544" s="7">
        <v>7</v>
      </c>
      <c r="E544" s="1">
        <v>7</v>
      </c>
      <c r="F544" s="7">
        <v>5</v>
      </c>
      <c r="G544" s="7">
        <v>5</v>
      </c>
      <c r="H544" s="7">
        <v>5</v>
      </c>
      <c r="I544" s="7">
        <v>5</v>
      </c>
      <c r="J544" s="8">
        <v>5</v>
      </c>
    </row>
    <row r="545" spans="1:10" hidden="1" x14ac:dyDescent="0.25">
      <c r="A545" s="6">
        <v>511138</v>
      </c>
      <c r="B545" s="7">
        <v>1</v>
      </c>
      <c r="C545" s="7">
        <v>473.71987547443001</v>
      </c>
      <c r="D545" s="7">
        <v>4</v>
      </c>
      <c r="E545" s="1">
        <v>4</v>
      </c>
      <c r="F545" s="7">
        <v>5</v>
      </c>
      <c r="G545" s="7">
        <v>5</v>
      </c>
      <c r="H545" s="7">
        <v>5</v>
      </c>
      <c r="I545" s="7">
        <v>5</v>
      </c>
      <c r="J545" s="8">
        <v>5</v>
      </c>
    </row>
    <row r="546" spans="1:10" x14ac:dyDescent="0.25">
      <c r="A546" s="6">
        <v>511150</v>
      </c>
      <c r="B546" s="7">
        <v>1</v>
      </c>
      <c r="C546" s="7">
        <v>812.71662369950297</v>
      </c>
      <c r="D546" s="7">
        <v>9</v>
      </c>
      <c r="E546" s="1">
        <v>8</v>
      </c>
      <c r="F546" s="7">
        <v>5</v>
      </c>
      <c r="G546" s="7">
        <v>5</v>
      </c>
      <c r="H546" s="7">
        <v>5</v>
      </c>
      <c r="I546" s="7">
        <v>5</v>
      </c>
      <c r="J546" s="8">
        <v>5</v>
      </c>
    </row>
    <row r="547" spans="1:10" hidden="1" x14ac:dyDescent="0.25">
      <c r="A547" s="6">
        <v>511224</v>
      </c>
      <c r="B547" s="7">
        <v>1</v>
      </c>
      <c r="C547" s="7">
        <v>737.22442328313196</v>
      </c>
      <c r="D547" s="7">
        <v>7</v>
      </c>
      <c r="E547" s="1">
        <v>5</v>
      </c>
      <c r="F547" s="7">
        <v>5</v>
      </c>
      <c r="G547" s="7">
        <v>5</v>
      </c>
      <c r="H547" s="7">
        <v>5</v>
      </c>
      <c r="I547" s="7">
        <v>5</v>
      </c>
      <c r="J547" s="8">
        <v>5</v>
      </c>
    </row>
    <row r="548" spans="1:10" hidden="1" x14ac:dyDescent="0.25">
      <c r="A548" s="6">
        <v>511249</v>
      </c>
      <c r="B548" s="7">
        <v>2</v>
      </c>
      <c r="C548" s="7">
        <v>285.56855226387103</v>
      </c>
      <c r="D548" s="7">
        <v>5</v>
      </c>
      <c r="E548" s="1">
        <v>5</v>
      </c>
      <c r="F548" s="7">
        <v>5</v>
      </c>
      <c r="G548" s="7">
        <v>5</v>
      </c>
      <c r="H548" s="7">
        <v>5</v>
      </c>
      <c r="I548" s="7">
        <v>5</v>
      </c>
      <c r="J548" s="8">
        <v>5</v>
      </c>
    </row>
    <row r="549" spans="1:10" hidden="1" x14ac:dyDescent="0.25">
      <c r="A549" s="6">
        <v>511258</v>
      </c>
      <c r="B549" s="7">
        <v>2</v>
      </c>
      <c r="C549" s="7">
        <v>758.16165517780905</v>
      </c>
      <c r="D549" s="7">
        <v>5</v>
      </c>
      <c r="E549" s="1">
        <v>5</v>
      </c>
      <c r="F549" s="7">
        <v>5</v>
      </c>
      <c r="G549" s="7">
        <v>5</v>
      </c>
      <c r="H549" s="7">
        <v>5</v>
      </c>
      <c r="I549" s="7">
        <v>5</v>
      </c>
      <c r="J549" s="8">
        <v>5</v>
      </c>
    </row>
    <row r="550" spans="1:10" hidden="1" x14ac:dyDescent="0.25">
      <c r="A550" s="6">
        <v>511259</v>
      </c>
      <c r="B550" s="7">
        <v>1</v>
      </c>
      <c r="C550" s="7">
        <v>788.65547412115495</v>
      </c>
      <c r="D550" s="7">
        <v>7</v>
      </c>
      <c r="E550" s="1">
        <v>7</v>
      </c>
      <c r="F550" s="7">
        <v>5</v>
      </c>
      <c r="G550" s="7">
        <v>5</v>
      </c>
      <c r="H550" s="7">
        <v>5</v>
      </c>
      <c r="I550" s="7">
        <v>5</v>
      </c>
      <c r="J550" s="8">
        <v>5</v>
      </c>
    </row>
    <row r="551" spans="1:10" hidden="1" x14ac:dyDescent="0.25">
      <c r="A551" s="6">
        <v>511263</v>
      </c>
      <c r="B551" s="7">
        <v>1</v>
      </c>
      <c r="C551" s="7">
        <v>1282.5598850547599</v>
      </c>
      <c r="D551" s="7">
        <v>5</v>
      </c>
      <c r="E551" s="1">
        <v>5</v>
      </c>
      <c r="F551" s="7">
        <v>5</v>
      </c>
      <c r="G551" s="7">
        <v>5</v>
      </c>
      <c r="H551" s="7">
        <v>5</v>
      </c>
      <c r="I551" s="7">
        <v>5</v>
      </c>
      <c r="J551" s="8">
        <v>5</v>
      </c>
    </row>
    <row r="552" spans="1:10" hidden="1" x14ac:dyDescent="0.25">
      <c r="A552" s="6">
        <v>511265</v>
      </c>
      <c r="B552" s="7">
        <v>2</v>
      </c>
      <c r="C552" s="7">
        <v>106.956630882114</v>
      </c>
      <c r="D552" s="7">
        <v>7</v>
      </c>
      <c r="E552" s="1">
        <v>7</v>
      </c>
      <c r="F552" s="7">
        <v>5</v>
      </c>
      <c r="G552" s="7">
        <v>5</v>
      </c>
      <c r="H552" s="7">
        <v>5</v>
      </c>
      <c r="I552" s="7">
        <v>5</v>
      </c>
      <c r="J552" s="8">
        <v>5</v>
      </c>
    </row>
    <row r="553" spans="1:10" hidden="1" x14ac:dyDescent="0.25">
      <c r="A553" s="6">
        <v>511281</v>
      </c>
      <c r="B553" s="7">
        <v>1</v>
      </c>
      <c r="C553" s="7">
        <v>686.40230487292195</v>
      </c>
      <c r="D553" s="7">
        <v>5</v>
      </c>
      <c r="E553" s="1">
        <v>4</v>
      </c>
      <c r="F553" s="7">
        <v>5</v>
      </c>
      <c r="G553" s="7">
        <v>5</v>
      </c>
      <c r="H553" s="7">
        <v>5</v>
      </c>
      <c r="I553" s="7">
        <v>5</v>
      </c>
      <c r="J553" s="8">
        <v>5</v>
      </c>
    </row>
    <row r="554" spans="1:10" hidden="1" x14ac:dyDescent="0.25">
      <c r="A554" s="6">
        <v>511301</v>
      </c>
      <c r="B554" s="7">
        <v>1</v>
      </c>
      <c r="C554" s="7">
        <v>130.91728590176501</v>
      </c>
      <c r="D554" s="7">
        <v>5</v>
      </c>
      <c r="E554" s="1">
        <v>5</v>
      </c>
      <c r="F554" s="7">
        <v>5</v>
      </c>
      <c r="G554" s="7">
        <v>5</v>
      </c>
      <c r="H554" s="7">
        <v>5</v>
      </c>
      <c r="I554" s="7">
        <v>5</v>
      </c>
      <c r="J554" s="8">
        <v>5</v>
      </c>
    </row>
    <row r="555" spans="1:10" hidden="1" x14ac:dyDescent="0.25">
      <c r="A555" s="6">
        <v>511307</v>
      </c>
      <c r="B555" s="7">
        <v>2</v>
      </c>
      <c r="C555" s="7">
        <v>524.42087991023902</v>
      </c>
      <c r="D555" s="7">
        <v>7</v>
      </c>
      <c r="E555" s="1">
        <v>7</v>
      </c>
      <c r="F555" s="7">
        <v>5</v>
      </c>
      <c r="G555" s="7">
        <v>5</v>
      </c>
      <c r="H555" s="7">
        <v>5</v>
      </c>
      <c r="I555" s="7">
        <v>5</v>
      </c>
      <c r="J555" s="8">
        <v>5</v>
      </c>
    </row>
    <row r="556" spans="1:10" hidden="1" x14ac:dyDescent="0.25">
      <c r="A556" s="6">
        <v>511326</v>
      </c>
      <c r="B556" s="7">
        <v>2</v>
      </c>
      <c r="C556" s="7">
        <v>474.39873819084602</v>
      </c>
      <c r="D556" s="7">
        <v>5</v>
      </c>
      <c r="E556" s="1">
        <v>5</v>
      </c>
      <c r="F556" s="7">
        <v>5</v>
      </c>
      <c r="G556" s="7">
        <v>5</v>
      </c>
      <c r="H556" s="7">
        <v>5</v>
      </c>
      <c r="I556" s="7">
        <v>5</v>
      </c>
      <c r="J556" s="8">
        <v>5</v>
      </c>
    </row>
    <row r="557" spans="1:10" hidden="1" x14ac:dyDescent="0.25">
      <c r="A557" s="6">
        <v>511332</v>
      </c>
      <c r="B557" s="7">
        <v>1</v>
      </c>
      <c r="C557" s="7">
        <v>631.76665917930097</v>
      </c>
      <c r="D557" s="7">
        <v>7</v>
      </c>
      <c r="E557" s="1">
        <v>7</v>
      </c>
      <c r="F557" s="7">
        <v>5</v>
      </c>
      <c r="G557" s="7">
        <v>5</v>
      </c>
      <c r="H557" s="7">
        <v>5</v>
      </c>
      <c r="I557" s="7">
        <v>5</v>
      </c>
      <c r="J557" s="8">
        <v>5</v>
      </c>
    </row>
    <row r="558" spans="1:10" hidden="1" x14ac:dyDescent="0.25">
      <c r="A558" s="6">
        <v>511337</v>
      </c>
      <c r="B558" s="7">
        <v>2</v>
      </c>
      <c r="C558" s="7">
        <v>611.51081145516196</v>
      </c>
      <c r="D558" s="7">
        <v>7</v>
      </c>
      <c r="E558" s="1">
        <v>7</v>
      </c>
      <c r="F558" s="7">
        <v>5</v>
      </c>
      <c r="G558" s="7">
        <v>5</v>
      </c>
      <c r="H558" s="7">
        <v>5</v>
      </c>
      <c r="I558" s="7">
        <v>5</v>
      </c>
      <c r="J558" s="8">
        <v>5</v>
      </c>
    </row>
    <row r="559" spans="1:10" x14ac:dyDescent="0.25">
      <c r="A559" s="6">
        <v>511350</v>
      </c>
      <c r="B559" s="7">
        <v>2</v>
      </c>
      <c r="C559" s="7">
        <v>344.69673001132003</v>
      </c>
      <c r="D559" s="7">
        <v>8</v>
      </c>
      <c r="E559" s="1">
        <v>8</v>
      </c>
      <c r="F559" s="7">
        <v>5</v>
      </c>
      <c r="G559" s="7">
        <v>5</v>
      </c>
      <c r="H559" s="7">
        <v>5</v>
      </c>
      <c r="I559" s="7">
        <v>5</v>
      </c>
      <c r="J559" s="8">
        <v>5</v>
      </c>
    </row>
    <row r="560" spans="1:10" hidden="1" x14ac:dyDescent="0.25">
      <c r="A560" s="6">
        <v>511351</v>
      </c>
      <c r="B560" s="7">
        <v>2</v>
      </c>
      <c r="C560" s="7">
        <v>419.03819569259002</v>
      </c>
      <c r="D560" s="7">
        <v>5</v>
      </c>
      <c r="E560" s="1">
        <v>5</v>
      </c>
      <c r="F560" s="7">
        <v>5</v>
      </c>
      <c r="G560" s="7">
        <v>5</v>
      </c>
      <c r="H560" s="7">
        <v>5</v>
      </c>
      <c r="I560" s="7">
        <v>5</v>
      </c>
      <c r="J560" s="8">
        <v>5</v>
      </c>
    </row>
    <row r="561" spans="1:10" hidden="1" x14ac:dyDescent="0.25">
      <c r="A561" s="6">
        <v>511387</v>
      </c>
      <c r="B561" s="7">
        <v>2</v>
      </c>
      <c r="C561" s="7">
        <v>493.19617701657103</v>
      </c>
      <c r="D561" s="7">
        <v>7</v>
      </c>
      <c r="E561" s="1">
        <v>7</v>
      </c>
      <c r="F561" s="7">
        <v>5</v>
      </c>
      <c r="G561" s="7">
        <v>5</v>
      </c>
      <c r="H561" s="7">
        <v>5</v>
      </c>
      <c r="I561" s="7">
        <v>5</v>
      </c>
      <c r="J561" s="8">
        <v>5</v>
      </c>
    </row>
    <row r="562" spans="1:10" hidden="1" x14ac:dyDescent="0.25">
      <c r="A562" s="6">
        <v>511410</v>
      </c>
      <c r="B562" s="7">
        <v>1</v>
      </c>
      <c r="C562" s="7">
        <v>652.25716268044596</v>
      </c>
      <c r="D562" s="7">
        <v>5</v>
      </c>
      <c r="E562" s="1">
        <v>5</v>
      </c>
      <c r="F562" s="7">
        <v>5</v>
      </c>
      <c r="G562" s="7">
        <v>5</v>
      </c>
      <c r="H562" s="7">
        <v>5</v>
      </c>
      <c r="I562" s="7">
        <v>5</v>
      </c>
      <c r="J562" s="8">
        <v>5</v>
      </c>
    </row>
    <row r="563" spans="1:10" hidden="1" x14ac:dyDescent="0.25">
      <c r="A563" s="6">
        <v>511427</v>
      </c>
      <c r="B563" s="7">
        <v>2</v>
      </c>
      <c r="C563" s="7">
        <v>425.95100763076101</v>
      </c>
      <c r="D563" s="7">
        <v>7</v>
      </c>
      <c r="E563" s="1">
        <v>7</v>
      </c>
      <c r="F563" s="7">
        <v>5</v>
      </c>
      <c r="G563" s="7">
        <v>5</v>
      </c>
      <c r="H563" s="7">
        <v>5</v>
      </c>
      <c r="I563" s="7">
        <v>5</v>
      </c>
      <c r="J563" s="8">
        <v>5</v>
      </c>
    </row>
    <row r="564" spans="1:10" hidden="1" x14ac:dyDescent="0.25">
      <c r="A564" s="6">
        <v>511459</v>
      </c>
      <c r="B564" s="7">
        <v>2</v>
      </c>
      <c r="C564" s="7">
        <v>155.596677989043</v>
      </c>
      <c r="D564" s="7">
        <v>5</v>
      </c>
      <c r="E564" s="1">
        <v>5</v>
      </c>
      <c r="F564" s="7">
        <v>5</v>
      </c>
      <c r="G564" s="7">
        <v>5</v>
      </c>
      <c r="H564" s="7">
        <v>5</v>
      </c>
      <c r="I564" s="7">
        <v>5</v>
      </c>
      <c r="J564" s="8">
        <v>5</v>
      </c>
    </row>
    <row r="565" spans="1:10" hidden="1" x14ac:dyDescent="0.25">
      <c r="A565" s="6">
        <v>511480</v>
      </c>
      <c r="B565" s="7">
        <v>2</v>
      </c>
      <c r="C565" s="7">
        <v>758.25471683888895</v>
      </c>
      <c r="D565" s="7">
        <v>5</v>
      </c>
      <c r="E565" s="1">
        <v>5</v>
      </c>
      <c r="F565" s="7">
        <v>5</v>
      </c>
      <c r="G565" s="7">
        <v>1</v>
      </c>
      <c r="H565" s="7">
        <v>1</v>
      </c>
      <c r="I565" s="7">
        <v>5</v>
      </c>
      <c r="J565" s="8">
        <v>5</v>
      </c>
    </row>
    <row r="566" spans="1:10" hidden="1" x14ac:dyDescent="0.25">
      <c r="A566" s="6">
        <v>511483</v>
      </c>
      <c r="B566" s="7">
        <v>1</v>
      </c>
      <c r="C566" s="7">
        <v>918.97827776399402</v>
      </c>
      <c r="D566" s="7">
        <v>5</v>
      </c>
      <c r="E566" s="1">
        <v>5</v>
      </c>
      <c r="F566" s="7">
        <v>5</v>
      </c>
      <c r="G566" s="7">
        <v>5</v>
      </c>
      <c r="H566" s="7">
        <v>5</v>
      </c>
      <c r="I566" s="7">
        <v>5</v>
      </c>
      <c r="J566" s="8">
        <v>5</v>
      </c>
    </row>
    <row r="567" spans="1:10" hidden="1" x14ac:dyDescent="0.25">
      <c r="A567" s="6">
        <v>511494</v>
      </c>
      <c r="B567" s="7">
        <v>2</v>
      </c>
      <c r="C567" s="7">
        <v>980.17686620030599</v>
      </c>
      <c r="D567" s="7">
        <v>7</v>
      </c>
      <c r="E567" s="1">
        <v>7</v>
      </c>
      <c r="F567" s="7">
        <v>5</v>
      </c>
      <c r="G567" s="7">
        <v>5</v>
      </c>
      <c r="H567" s="7">
        <v>5</v>
      </c>
      <c r="I567" s="7">
        <v>5</v>
      </c>
      <c r="J567" s="8">
        <v>5</v>
      </c>
    </row>
    <row r="568" spans="1:10" hidden="1" x14ac:dyDescent="0.25">
      <c r="A568" s="6">
        <v>511502</v>
      </c>
      <c r="B568" s="7">
        <v>2</v>
      </c>
      <c r="C568" s="7">
        <v>47.462170006270803</v>
      </c>
      <c r="D568" s="7">
        <v>7</v>
      </c>
      <c r="E568" s="1">
        <v>7</v>
      </c>
      <c r="F568" s="7">
        <v>5</v>
      </c>
      <c r="G568" s="7">
        <v>5</v>
      </c>
      <c r="H568" s="7">
        <v>5</v>
      </c>
      <c r="I568" s="7">
        <v>5</v>
      </c>
      <c r="J568" s="8">
        <v>5</v>
      </c>
    </row>
    <row r="569" spans="1:10" hidden="1" x14ac:dyDescent="0.25">
      <c r="A569" s="6">
        <v>511503</v>
      </c>
      <c r="B569" s="7">
        <v>2</v>
      </c>
      <c r="C569" s="7">
        <v>363.67592731176302</v>
      </c>
      <c r="D569" s="7">
        <v>5</v>
      </c>
      <c r="E569" s="1">
        <v>5</v>
      </c>
      <c r="F569" s="7">
        <v>5</v>
      </c>
      <c r="G569" s="7">
        <v>5</v>
      </c>
      <c r="H569" s="7">
        <v>5</v>
      </c>
      <c r="I569" s="7">
        <v>5</v>
      </c>
      <c r="J569" s="8">
        <v>5</v>
      </c>
    </row>
    <row r="570" spans="1:10" x14ac:dyDescent="0.25">
      <c r="A570" s="6">
        <v>511514</v>
      </c>
      <c r="B570" s="7">
        <v>2</v>
      </c>
      <c r="C570" s="7">
        <v>530.99070255209404</v>
      </c>
      <c r="D570" s="7">
        <v>8</v>
      </c>
      <c r="E570" s="1">
        <v>8</v>
      </c>
      <c r="F570" s="7">
        <v>5</v>
      </c>
      <c r="G570" s="7">
        <v>5</v>
      </c>
      <c r="H570" s="7">
        <v>5</v>
      </c>
      <c r="I570" s="7">
        <v>5</v>
      </c>
      <c r="J570" s="8">
        <v>5</v>
      </c>
    </row>
    <row r="571" spans="1:10" hidden="1" x14ac:dyDescent="0.25">
      <c r="A571" s="6">
        <v>511516</v>
      </c>
      <c r="B571" s="7">
        <v>1</v>
      </c>
      <c r="C571" s="7">
        <v>757.824221800141</v>
      </c>
      <c r="D571" s="7">
        <v>2</v>
      </c>
      <c r="E571" s="1">
        <v>5</v>
      </c>
      <c r="F571" s="7">
        <v>5</v>
      </c>
      <c r="G571" s="7">
        <v>5</v>
      </c>
      <c r="H571" s="7">
        <v>5</v>
      </c>
      <c r="I571" s="7">
        <v>5</v>
      </c>
      <c r="J571" s="8">
        <v>5</v>
      </c>
    </row>
    <row r="572" spans="1:10" x14ac:dyDescent="0.25">
      <c r="A572" s="6">
        <v>511517</v>
      </c>
      <c r="B572" s="7">
        <v>2</v>
      </c>
      <c r="C572" s="7">
        <v>707.12298562242495</v>
      </c>
      <c r="D572" s="7">
        <v>6</v>
      </c>
      <c r="E572" s="1">
        <v>6</v>
      </c>
      <c r="F572" s="7">
        <v>5</v>
      </c>
      <c r="G572" s="7">
        <v>5</v>
      </c>
      <c r="H572" s="7">
        <v>5</v>
      </c>
      <c r="I572" s="7">
        <v>5</v>
      </c>
      <c r="J572" s="8">
        <v>5</v>
      </c>
    </row>
    <row r="573" spans="1:10" hidden="1" x14ac:dyDescent="0.25">
      <c r="A573" s="6">
        <v>511525</v>
      </c>
      <c r="B573" s="7">
        <v>2</v>
      </c>
      <c r="C573" s="7">
        <v>361.98487780394601</v>
      </c>
      <c r="D573" s="7">
        <v>5</v>
      </c>
      <c r="E573" s="1">
        <v>5</v>
      </c>
      <c r="F573" s="7">
        <v>5</v>
      </c>
      <c r="G573" s="7">
        <v>5</v>
      </c>
      <c r="H573" s="7">
        <v>5</v>
      </c>
      <c r="I573" s="7">
        <v>5</v>
      </c>
      <c r="J573" s="8">
        <v>5</v>
      </c>
    </row>
    <row r="574" spans="1:10" hidden="1" x14ac:dyDescent="0.25">
      <c r="A574" s="6">
        <v>511527</v>
      </c>
      <c r="B574" s="7">
        <v>2</v>
      </c>
      <c r="C574" s="7">
        <v>302.22330899285402</v>
      </c>
      <c r="D574" s="7">
        <v>2</v>
      </c>
      <c r="E574" s="1">
        <v>8</v>
      </c>
      <c r="F574" s="7">
        <v>5</v>
      </c>
      <c r="G574" s="7">
        <v>5</v>
      </c>
      <c r="H574" s="7">
        <v>5</v>
      </c>
      <c r="I574" s="7">
        <v>5</v>
      </c>
      <c r="J574" s="8">
        <v>5</v>
      </c>
    </row>
    <row r="575" spans="1:10" hidden="1" x14ac:dyDescent="0.25">
      <c r="A575" s="6">
        <v>511528</v>
      </c>
      <c r="B575" s="7">
        <v>2</v>
      </c>
      <c r="C575" s="7">
        <v>579.07104299847595</v>
      </c>
      <c r="D575" s="7">
        <v>7</v>
      </c>
      <c r="E575" s="1">
        <v>7</v>
      </c>
      <c r="F575" s="7">
        <v>5</v>
      </c>
      <c r="G575" s="7">
        <v>5</v>
      </c>
      <c r="H575" s="7">
        <v>5</v>
      </c>
      <c r="I575" s="7">
        <v>5</v>
      </c>
      <c r="J575" s="8">
        <v>5</v>
      </c>
    </row>
    <row r="576" spans="1:10" hidden="1" x14ac:dyDescent="0.25">
      <c r="A576" s="6">
        <v>511537</v>
      </c>
      <c r="B576" s="7">
        <v>2</v>
      </c>
      <c r="C576" s="7">
        <v>1107.7489162295601</v>
      </c>
      <c r="D576" s="7">
        <v>7</v>
      </c>
      <c r="E576" s="1">
        <v>7</v>
      </c>
      <c r="F576" s="7">
        <v>5</v>
      </c>
      <c r="G576" s="7">
        <v>5</v>
      </c>
      <c r="H576" s="7">
        <v>5</v>
      </c>
      <c r="I576" s="7">
        <v>5</v>
      </c>
      <c r="J576" s="8">
        <v>5</v>
      </c>
    </row>
    <row r="577" spans="1:10" x14ac:dyDescent="0.25">
      <c r="A577" s="6">
        <v>511539</v>
      </c>
      <c r="B577" s="7">
        <v>2</v>
      </c>
      <c r="C577" s="7">
        <v>540.05668353555598</v>
      </c>
      <c r="D577" s="7">
        <v>8</v>
      </c>
      <c r="E577" s="1">
        <v>8</v>
      </c>
      <c r="F577" s="7">
        <v>5</v>
      </c>
      <c r="G577" s="7">
        <v>5</v>
      </c>
      <c r="H577" s="7">
        <v>5</v>
      </c>
      <c r="I577" s="7">
        <v>5</v>
      </c>
      <c r="J577" s="8">
        <v>5</v>
      </c>
    </row>
    <row r="578" spans="1:10" hidden="1" x14ac:dyDescent="0.25">
      <c r="A578" s="6">
        <v>511541</v>
      </c>
      <c r="B578" s="7">
        <v>2</v>
      </c>
      <c r="C578" s="7">
        <v>443.441500799587</v>
      </c>
      <c r="D578" s="7">
        <v>5</v>
      </c>
      <c r="E578" s="1">
        <v>5</v>
      </c>
      <c r="F578" s="7">
        <v>5</v>
      </c>
      <c r="G578" s="7">
        <v>5</v>
      </c>
      <c r="H578" s="7">
        <v>5</v>
      </c>
      <c r="I578" s="7">
        <v>5</v>
      </c>
      <c r="J578" s="8">
        <v>5</v>
      </c>
    </row>
    <row r="579" spans="1:10" hidden="1" x14ac:dyDescent="0.25">
      <c r="A579" s="6">
        <v>511545</v>
      </c>
      <c r="B579" s="7">
        <v>1</v>
      </c>
      <c r="C579" s="7">
        <v>403.122357437478</v>
      </c>
      <c r="D579" s="7">
        <v>5</v>
      </c>
      <c r="E579" s="1">
        <v>7</v>
      </c>
      <c r="F579" s="7">
        <v>5</v>
      </c>
      <c r="G579" s="7">
        <v>5</v>
      </c>
      <c r="H579" s="7">
        <v>5</v>
      </c>
      <c r="I579" s="7">
        <v>5</v>
      </c>
      <c r="J579" s="8">
        <v>5</v>
      </c>
    </row>
    <row r="580" spans="1:10" hidden="1" x14ac:dyDescent="0.25">
      <c r="A580" s="6">
        <v>511546</v>
      </c>
      <c r="B580" s="7">
        <v>2</v>
      </c>
      <c r="C580" s="7">
        <v>838.91529966142605</v>
      </c>
      <c r="D580" s="7">
        <v>5</v>
      </c>
      <c r="E580" s="1">
        <v>5</v>
      </c>
      <c r="F580" s="7">
        <v>5</v>
      </c>
      <c r="G580" s="7">
        <v>5</v>
      </c>
      <c r="H580" s="7">
        <v>5</v>
      </c>
      <c r="I580" s="7">
        <v>5</v>
      </c>
      <c r="J580" s="8">
        <v>5</v>
      </c>
    </row>
    <row r="581" spans="1:10" hidden="1" x14ac:dyDescent="0.25">
      <c r="A581" s="6">
        <v>511554</v>
      </c>
      <c r="B581" s="7">
        <v>1</v>
      </c>
      <c r="C581" s="7">
        <v>938.15628549418204</v>
      </c>
      <c r="D581" s="7">
        <v>4</v>
      </c>
      <c r="E581" s="1">
        <v>4</v>
      </c>
      <c r="F581" s="7">
        <v>5</v>
      </c>
      <c r="G581" s="7">
        <v>5</v>
      </c>
      <c r="H581" s="7">
        <v>5</v>
      </c>
      <c r="I581" s="7">
        <v>5</v>
      </c>
      <c r="J581" s="8">
        <v>5</v>
      </c>
    </row>
    <row r="582" spans="1:10" hidden="1" x14ac:dyDescent="0.25">
      <c r="A582" s="6">
        <v>511582</v>
      </c>
      <c r="B582" s="7">
        <v>1</v>
      </c>
      <c r="C582" s="7">
        <v>998.04945084238398</v>
      </c>
      <c r="D582" s="7">
        <v>5</v>
      </c>
      <c r="E582" s="1">
        <v>5</v>
      </c>
      <c r="F582" s="7">
        <v>5</v>
      </c>
      <c r="G582" s="7">
        <v>5</v>
      </c>
      <c r="H582" s="7">
        <v>5</v>
      </c>
      <c r="I582" s="7">
        <v>5</v>
      </c>
      <c r="J582" s="8">
        <v>5</v>
      </c>
    </row>
    <row r="583" spans="1:10" hidden="1" x14ac:dyDescent="0.25">
      <c r="A583" s="6">
        <v>511611</v>
      </c>
      <c r="B583" s="7">
        <v>2</v>
      </c>
      <c r="C583" s="7">
        <v>1191.3517342632699</v>
      </c>
      <c r="D583" s="7">
        <v>7</v>
      </c>
      <c r="E583" s="1">
        <v>8</v>
      </c>
      <c r="F583" s="7">
        <v>5</v>
      </c>
      <c r="G583" s="7">
        <v>5</v>
      </c>
      <c r="H583" s="7">
        <v>5</v>
      </c>
      <c r="I583" s="7">
        <v>5</v>
      </c>
      <c r="J583" s="8">
        <v>5</v>
      </c>
    </row>
    <row r="584" spans="1:10" hidden="1" x14ac:dyDescent="0.25">
      <c r="A584" s="6">
        <v>511638</v>
      </c>
      <c r="B584" s="7">
        <v>1</v>
      </c>
      <c r="C584" s="7">
        <v>919.603933679286</v>
      </c>
      <c r="D584" s="7">
        <v>4</v>
      </c>
      <c r="E584" s="1">
        <v>4</v>
      </c>
      <c r="F584" s="7">
        <v>5</v>
      </c>
      <c r="G584" s="7">
        <v>5</v>
      </c>
      <c r="H584" s="7">
        <v>5</v>
      </c>
      <c r="I584" s="7">
        <v>5</v>
      </c>
      <c r="J584" s="8">
        <v>5</v>
      </c>
    </row>
    <row r="585" spans="1:10" hidden="1" x14ac:dyDescent="0.25">
      <c r="A585" s="6">
        <v>511664</v>
      </c>
      <c r="B585" s="7">
        <v>2</v>
      </c>
      <c r="C585" s="7">
        <v>434.43771247762601</v>
      </c>
      <c r="D585" s="7">
        <v>7</v>
      </c>
      <c r="E585" s="1">
        <v>7</v>
      </c>
      <c r="F585" s="7">
        <v>5</v>
      </c>
      <c r="G585" s="7">
        <v>5</v>
      </c>
      <c r="H585" s="7">
        <v>5</v>
      </c>
      <c r="I585" s="7">
        <v>5</v>
      </c>
      <c r="J585" s="8">
        <v>5</v>
      </c>
    </row>
    <row r="586" spans="1:10" hidden="1" x14ac:dyDescent="0.25">
      <c r="A586" s="6">
        <v>511669</v>
      </c>
      <c r="B586" s="7">
        <v>1</v>
      </c>
      <c r="C586" s="7">
        <v>173.877110329624</v>
      </c>
      <c r="D586" s="7">
        <v>2</v>
      </c>
      <c r="E586" s="1">
        <v>5</v>
      </c>
      <c r="F586" s="7">
        <v>5</v>
      </c>
      <c r="G586" s="7">
        <v>5</v>
      </c>
      <c r="H586" s="7">
        <v>5</v>
      </c>
      <c r="I586" s="7">
        <v>5</v>
      </c>
      <c r="J586" s="8">
        <v>5</v>
      </c>
    </row>
    <row r="587" spans="1:10" hidden="1" x14ac:dyDescent="0.25">
      <c r="A587" s="6">
        <v>511670</v>
      </c>
      <c r="B587" s="7">
        <v>1</v>
      </c>
      <c r="C587" s="7">
        <v>517.39638440898602</v>
      </c>
      <c r="D587" s="7">
        <v>5</v>
      </c>
      <c r="E587" s="1">
        <v>5</v>
      </c>
      <c r="F587" s="7">
        <v>5</v>
      </c>
      <c r="G587" s="7">
        <v>5</v>
      </c>
      <c r="H587" s="7">
        <v>5</v>
      </c>
      <c r="I587" s="7">
        <v>5</v>
      </c>
      <c r="J587" s="8">
        <v>5</v>
      </c>
    </row>
    <row r="588" spans="1:10" hidden="1" x14ac:dyDescent="0.25">
      <c r="A588" s="6">
        <v>511696</v>
      </c>
      <c r="B588" s="7">
        <v>1</v>
      </c>
      <c r="C588" s="7">
        <v>575.43887735407498</v>
      </c>
      <c r="D588" s="7">
        <v>3</v>
      </c>
      <c r="E588" s="1">
        <v>3</v>
      </c>
      <c r="F588" s="7">
        <v>5</v>
      </c>
      <c r="G588" s="7">
        <v>5</v>
      </c>
      <c r="H588" s="7">
        <v>5</v>
      </c>
      <c r="I588" s="7">
        <v>5</v>
      </c>
      <c r="J588" s="8">
        <v>5</v>
      </c>
    </row>
    <row r="589" spans="1:10" hidden="1" x14ac:dyDescent="0.25">
      <c r="A589" s="6">
        <v>511704</v>
      </c>
      <c r="B589" s="7">
        <v>1</v>
      </c>
      <c r="C589" s="7">
        <v>358.14377243982602</v>
      </c>
      <c r="D589" s="7">
        <v>4</v>
      </c>
      <c r="E589" s="1">
        <v>4</v>
      </c>
      <c r="F589" s="7">
        <v>5</v>
      </c>
      <c r="G589" s="7">
        <v>5</v>
      </c>
      <c r="H589" s="7">
        <v>5</v>
      </c>
      <c r="I589" s="7">
        <v>5</v>
      </c>
      <c r="J589" s="8">
        <v>5</v>
      </c>
    </row>
    <row r="590" spans="1:10" hidden="1" x14ac:dyDescent="0.25">
      <c r="A590" s="6">
        <v>511705</v>
      </c>
      <c r="B590" s="7">
        <v>2</v>
      </c>
      <c r="C590" s="7">
        <v>26.4042014637153</v>
      </c>
      <c r="D590" s="7">
        <v>7</v>
      </c>
      <c r="E590" s="1">
        <v>7</v>
      </c>
      <c r="F590" s="7">
        <v>5</v>
      </c>
      <c r="G590" s="7">
        <v>5</v>
      </c>
      <c r="H590" s="7">
        <v>5</v>
      </c>
      <c r="I590" s="7">
        <v>5</v>
      </c>
      <c r="J590" s="8">
        <v>5</v>
      </c>
    </row>
    <row r="591" spans="1:10" x14ac:dyDescent="0.25">
      <c r="A591" s="6">
        <v>511714</v>
      </c>
      <c r="B591" s="7">
        <v>2</v>
      </c>
      <c r="C591" s="7">
        <v>262.78885561180601</v>
      </c>
      <c r="D591" s="7">
        <v>8</v>
      </c>
      <c r="E591" s="1">
        <v>8</v>
      </c>
      <c r="F591" s="7">
        <v>5</v>
      </c>
      <c r="G591" s="7">
        <v>5</v>
      </c>
      <c r="H591" s="7">
        <v>5</v>
      </c>
      <c r="I591" s="7">
        <v>5</v>
      </c>
      <c r="J591" s="8">
        <v>5</v>
      </c>
    </row>
    <row r="592" spans="1:10" hidden="1" x14ac:dyDescent="0.25">
      <c r="A592" s="6">
        <v>511784</v>
      </c>
      <c r="B592" s="7">
        <v>2</v>
      </c>
      <c r="C592" s="7">
        <v>130.981629477474</v>
      </c>
      <c r="D592" s="7">
        <v>2</v>
      </c>
      <c r="E592" s="1">
        <v>8</v>
      </c>
      <c r="F592" s="7">
        <v>5</v>
      </c>
      <c r="G592" s="7">
        <v>5</v>
      </c>
      <c r="H592" s="7">
        <v>5</v>
      </c>
      <c r="I592" s="7">
        <v>5</v>
      </c>
      <c r="J592" s="8">
        <v>5</v>
      </c>
    </row>
    <row r="593" spans="1:10" hidden="1" x14ac:dyDescent="0.25">
      <c r="A593" s="6">
        <v>511940</v>
      </c>
      <c r="B593" s="7">
        <v>2</v>
      </c>
      <c r="C593" s="7">
        <v>1114.1836874369801</v>
      </c>
      <c r="D593" s="7">
        <v>7</v>
      </c>
      <c r="E593" s="1">
        <v>7</v>
      </c>
      <c r="F593" s="7">
        <v>5</v>
      </c>
      <c r="G593" s="7">
        <v>5</v>
      </c>
      <c r="H593" s="7">
        <v>5</v>
      </c>
      <c r="I593" s="7">
        <v>5</v>
      </c>
      <c r="J593" s="8">
        <v>5</v>
      </c>
    </row>
    <row r="594" spans="1:10" hidden="1" x14ac:dyDescent="0.25">
      <c r="A594" s="6">
        <v>511950</v>
      </c>
      <c r="B594" s="7">
        <v>1</v>
      </c>
      <c r="C594" s="7">
        <v>397.51581297535802</v>
      </c>
      <c r="D594" s="7">
        <v>5</v>
      </c>
      <c r="E594" s="1">
        <v>5</v>
      </c>
      <c r="F594" s="7">
        <v>5</v>
      </c>
      <c r="G594" s="7">
        <v>5</v>
      </c>
      <c r="H594" s="7">
        <v>5</v>
      </c>
      <c r="I594" s="7">
        <v>5</v>
      </c>
      <c r="J594" s="8">
        <v>5</v>
      </c>
    </row>
    <row r="595" spans="1:10" hidden="1" x14ac:dyDescent="0.25">
      <c r="A595" s="6">
        <v>511976</v>
      </c>
      <c r="B595" s="7">
        <v>2</v>
      </c>
      <c r="C595" s="7">
        <v>118.22828844092901</v>
      </c>
      <c r="D595" s="7">
        <v>5</v>
      </c>
      <c r="E595" s="1">
        <v>5</v>
      </c>
      <c r="F595" s="7">
        <v>5</v>
      </c>
      <c r="G595" s="7">
        <v>5</v>
      </c>
      <c r="H595" s="7">
        <v>5</v>
      </c>
      <c r="I595" s="7">
        <v>5</v>
      </c>
      <c r="J595" s="8">
        <v>5</v>
      </c>
    </row>
    <row r="596" spans="1:10" hidden="1" x14ac:dyDescent="0.25">
      <c r="A596" s="6">
        <v>511983</v>
      </c>
      <c r="B596" s="7">
        <v>1</v>
      </c>
      <c r="C596" s="7">
        <v>1957.6924194016301</v>
      </c>
      <c r="D596" s="7">
        <v>4</v>
      </c>
      <c r="E596" s="1">
        <v>4</v>
      </c>
      <c r="F596" s="7">
        <v>5</v>
      </c>
      <c r="G596" s="7">
        <v>5</v>
      </c>
      <c r="H596" s="7">
        <v>5</v>
      </c>
      <c r="I596" s="7">
        <v>5</v>
      </c>
      <c r="J596" s="8">
        <v>5</v>
      </c>
    </row>
    <row r="597" spans="1:10" x14ac:dyDescent="0.25">
      <c r="A597" s="6">
        <v>511990</v>
      </c>
      <c r="B597" s="7">
        <v>2</v>
      </c>
      <c r="C597" s="7">
        <v>268.63460747917901</v>
      </c>
      <c r="D597" s="7">
        <v>8</v>
      </c>
      <c r="E597" s="1">
        <v>8</v>
      </c>
      <c r="F597" s="7">
        <v>5</v>
      </c>
      <c r="G597" s="7">
        <v>5</v>
      </c>
      <c r="H597" s="7">
        <v>5</v>
      </c>
      <c r="I597" s="7">
        <v>5</v>
      </c>
      <c r="J597" s="8">
        <v>5</v>
      </c>
    </row>
    <row r="598" spans="1:10" hidden="1" x14ac:dyDescent="0.25">
      <c r="A598" s="6">
        <v>512005</v>
      </c>
      <c r="B598" s="7">
        <v>1</v>
      </c>
      <c r="C598" s="7">
        <v>602.45381559601901</v>
      </c>
      <c r="D598" s="7">
        <v>4</v>
      </c>
      <c r="E598" s="1">
        <v>4</v>
      </c>
      <c r="F598" s="7">
        <v>5</v>
      </c>
      <c r="G598" s="7">
        <v>5</v>
      </c>
      <c r="H598" s="7">
        <v>5</v>
      </c>
      <c r="I598" s="7">
        <v>5</v>
      </c>
      <c r="J598" s="8">
        <v>5</v>
      </c>
    </row>
    <row r="599" spans="1:10" hidden="1" x14ac:dyDescent="0.25">
      <c r="A599" s="6">
        <v>512033</v>
      </c>
      <c r="B599" s="7">
        <v>1</v>
      </c>
      <c r="C599" s="7">
        <v>1034.55119986504</v>
      </c>
      <c r="D599" s="7">
        <v>1</v>
      </c>
      <c r="E599" s="1">
        <v>4</v>
      </c>
      <c r="F599" s="7">
        <v>5</v>
      </c>
      <c r="G599" s="7">
        <v>5</v>
      </c>
      <c r="H599" s="7">
        <v>5</v>
      </c>
      <c r="I599" s="7">
        <v>5</v>
      </c>
      <c r="J599" s="8">
        <v>5</v>
      </c>
    </row>
    <row r="600" spans="1:10" hidden="1" x14ac:dyDescent="0.25">
      <c r="A600" s="6">
        <v>512039</v>
      </c>
      <c r="B600" s="7">
        <v>1</v>
      </c>
      <c r="C600" s="7">
        <v>607.01870341061306</v>
      </c>
      <c r="D600" s="7">
        <v>5</v>
      </c>
      <c r="E600" s="1">
        <v>5</v>
      </c>
      <c r="F600" s="7">
        <v>5</v>
      </c>
      <c r="G600" s="7">
        <v>1</v>
      </c>
      <c r="H600" s="7">
        <v>1</v>
      </c>
      <c r="I600" s="7">
        <v>5</v>
      </c>
      <c r="J600" s="8">
        <v>5</v>
      </c>
    </row>
    <row r="601" spans="1:10" x14ac:dyDescent="0.25">
      <c r="A601" s="6">
        <v>512053</v>
      </c>
      <c r="B601" s="7">
        <v>2</v>
      </c>
      <c r="C601" s="7">
        <v>598.84676020048801</v>
      </c>
      <c r="D601" s="7">
        <v>8</v>
      </c>
      <c r="E601" s="1">
        <v>8</v>
      </c>
      <c r="F601" s="7">
        <v>5</v>
      </c>
      <c r="G601" s="7">
        <v>5</v>
      </c>
      <c r="H601" s="7">
        <v>5</v>
      </c>
      <c r="I601" s="7">
        <v>5</v>
      </c>
      <c r="J601" s="8">
        <v>5</v>
      </c>
    </row>
    <row r="602" spans="1:10" hidden="1" x14ac:dyDescent="0.25">
      <c r="A602" s="6">
        <v>512080</v>
      </c>
      <c r="B602" s="7">
        <v>2</v>
      </c>
      <c r="C602" s="7">
        <v>629.96971381826302</v>
      </c>
      <c r="D602" s="7">
        <v>5</v>
      </c>
      <c r="E602" s="1">
        <v>5</v>
      </c>
      <c r="F602" s="7">
        <v>5</v>
      </c>
      <c r="G602" s="7">
        <v>5</v>
      </c>
      <c r="H602" s="7">
        <v>5</v>
      </c>
      <c r="I602" s="7">
        <v>5</v>
      </c>
      <c r="J602" s="8">
        <v>5</v>
      </c>
    </row>
    <row r="603" spans="1:10" hidden="1" x14ac:dyDescent="0.25">
      <c r="A603" s="6">
        <v>512086</v>
      </c>
      <c r="B603" s="7">
        <v>2</v>
      </c>
      <c r="C603" s="7">
        <v>26.4042014637153</v>
      </c>
      <c r="D603" s="7">
        <v>7</v>
      </c>
      <c r="E603" s="1">
        <v>7</v>
      </c>
      <c r="F603" s="7">
        <v>5</v>
      </c>
      <c r="G603" s="7">
        <v>5</v>
      </c>
      <c r="H603" s="7">
        <v>5</v>
      </c>
      <c r="I603" s="7">
        <v>5</v>
      </c>
      <c r="J603" s="8">
        <v>5</v>
      </c>
    </row>
    <row r="604" spans="1:10" hidden="1" x14ac:dyDescent="0.25">
      <c r="A604" s="6">
        <v>512090</v>
      </c>
      <c r="B604" s="7">
        <v>2</v>
      </c>
      <c r="C604" s="7">
        <v>2133.07147908773</v>
      </c>
      <c r="D604" s="7">
        <v>5</v>
      </c>
      <c r="E604" s="1">
        <v>5</v>
      </c>
      <c r="F604" s="7">
        <v>5</v>
      </c>
      <c r="G604" s="7">
        <v>5</v>
      </c>
      <c r="H604" s="7">
        <v>5</v>
      </c>
      <c r="I604" s="7">
        <v>5</v>
      </c>
      <c r="J604" s="8">
        <v>5</v>
      </c>
    </row>
    <row r="605" spans="1:10" hidden="1" x14ac:dyDescent="0.25">
      <c r="A605" s="6">
        <v>512120</v>
      </c>
      <c r="B605" s="7">
        <v>2</v>
      </c>
      <c r="C605" s="7">
        <v>380.47055917819802</v>
      </c>
      <c r="D605" s="7">
        <v>5</v>
      </c>
      <c r="E605" s="1">
        <v>5</v>
      </c>
      <c r="F605" s="7">
        <v>5</v>
      </c>
      <c r="G605" s="7">
        <v>5</v>
      </c>
      <c r="H605" s="7">
        <v>5</v>
      </c>
      <c r="I605" s="7">
        <v>5</v>
      </c>
      <c r="J605" s="8">
        <v>5</v>
      </c>
    </row>
    <row r="606" spans="1:10" x14ac:dyDescent="0.25">
      <c r="A606" s="6">
        <v>512150</v>
      </c>
      <c r="B606" s="7">
        <v>2</v>
      </c>
      <c r="C606" s="7">
        <v>649.89296559837805</v>
      </c>
      <c r="D606" s="7">
        <v>6</v>
      </c>
      <c r="E606" s="1">
        <v>7</v>
      </c>
      <c r="F606" s="7">
        <v>5</v>
      </c>
      <c r="G606" s="7">
        <v>5</v>
      </c>
      <c r="H606" s="7">
        <v>5</v>
      </c>
      <c r="I606" s="7">
        <v>5</v>
      </c>
      <c r="J606" s="8">
        <v>5</v>
      </c>
    </row>
    <row r="607" spans="1:10" x14ac:dyDescent="0.25">
      <c r="A607" s="6">
        <v>512212</v>
      </c>
      <c r="B607" s="7">
        <v>2</v>
      </c>
      <c r="C607" s="7">
        <v>154.60195728250201</v>
      </c>
      <c r="D607" s="7">
        <v>8</v>
      </c>
      <c r="E607" s="1">
        <v>8</v>
      </c>
      <c r="F607" s="7">
        <v>5</v>
      </c>
      <c r="G607" s="7">
        <v>5</v>
      </c>
      <c r="H607" s="7">
        <v>5</v>
      </c>
      <c r="I607" s="7">
        <v>5</v>
      </c>
      <c r="J607" s="8">
        <v>5</v>
      </c>
    </row>
    <row r="608" spans="1:10" x14ac:dyDescent="0.25">
      <c r="A608" s="6">
        <v>512221</v>
      </c>
      <c r="B608" s="7">
        <v>2</v>
      </c>
      <c r="C608" s="7">
        <v>21.8873556273088</v>
      </c>
      <c r="D608" s="7">
        <v>8</v>
      </c>
      <c r="E608" s="1">
        <v>8</v>
      </c>
      <c r="F608" s="7">
        <v>5</v>
      </c>
      <c r="G608" s="7">
        <v>5</v>
      </c>
      <c r="H608" s="7">
        <v>5</v>
      </c>
      <c r="I608" s="7">
        <v>5</v>
      </c>
      <c r="J608" s="8">
        <v>5</v>
      </c>
    </row>
    <row r="609" spans="1:10" x14ac:dyDescent="0.25">
      <c r="A609" s="6">
        <v>512238</v>
      </c>
      <c r="B609" s="7">
        <v>2</v>
      </c>
      <c r="C609" s="7">
        <v>420.84039689768701</v>
      </c>
      <c r="D609" s="7">
        <v>8</v>
      </c>
      <c r="E609" s="1">
        <v>8</v>
      </c>
      <c r="F609" s="7">
        <v>5</v>
      </c>
      <c r="G609" s="7">
        <v>5</v>
      </c>
      <c r="H609" s="7">
        <v>5</v>
      </c>
      <c r="I609" s="7">
        <v>5</v>
      </c>
      <c r="J609" s="8">
        <v>5</v>
      </c>
    </row>
    <row r="610" spans="1:10" x14ac:dyDescent="0.25">
      <c r="A610" s="6">
        <v>512277</v>
      </c>
      <c r="B610" s="7">
        <v>2</v>
      </c>
      <c r="C610" s="7">
        <v>163.502821556486</v>
      </c>
      <c r="D610" s="7">
        <v>8</v>
      </c>
      <c r="E610" s="1">
        <v>8</v>
      </c>
      <c r="F610" s="7">
        <v>5</v>
      </c>
      <c r="G610" s="7">
        <v>5</v>
      </c>
      <c r="H610" s="7">
        <v>5</v>
      </c>
      <c r="I610" s="7">
        <v>5</v>
      </c>
      <c r="J610" s="8">
        <v>5</v>
      </c>
    </row>
    <row r="611" spans="1:10" hidden="1" x14ac:dyDescent="0.25">
      <c r="A611" s="6">
        <v>512329</v>
      </c>
      <c r="B611" s="7">
        <v>2</v>
      </c>
      <c r="C611" s="7">
        <v>497.00201254040002</v>
      </c>
      <c r="D611" s="7">
        <v>3</v>
      </c>
      <c r="E611" s="1">
        <v>3</v>
      </c>
      <c r="F611" s="7">
        <v>5</v>
      </c>
      <c r="G611" s="7">
        <v>5</v>
      </c>
      <c r="H611" s="7">
        <v>5</v>
      </c>
      <c r="I611" s="7">
        <v>5</v>
      </c>
      <c r="J611" s="8">
        <v>5</v>
      </c>
    </row>
    <row r="612" spans="1:10" hidden="1" x14ac:dyDescent="0.25">
      <c r="A612" s="6">
        <v>512370</v>
      </c>
      <c r="B612" s="7">
        <v>1</v>
      </c>
      <c r="C612" s="7">
        <v>461.02663396808401</v>
      </c>
      <c r="D612" s="7">
        <v>4</v>
      </c>
      <c r="E612" s="1">
        <v>4</v>
      </c>
      <c r="F612" s="7">
        <v>5</v>
      </c>
      <c r="G612" s="7">
        <v>5</v>
      </c>
      <c r="H612" s="7">
        <v>5</v>
      </c>
      <c r="I612" s="7">
        <v>5</v>
      </c>
      <c r="J612" s="8">
        <v>5</v>
      </c>
    </row>
    <row r="613" spans="1:10" hidden="1" x14ac:dyDescent="0.25">
      <c r="A613" s="6">
        <v>512399</v>
      </c>
      <c r="B613" s="7">
        <v>2</v>
      </c>
      <c r="C613" s="7">
        <v>540.77716717075396</v>
      </c>
      <c r="D613" s="7">
        <v>7</v>
      </c>
      <c r="E613" s="1">
        <v>7</v>
      </c>
      <c r="F613" s="7">
        <v>5</v>
      </c>
      <c r="G613" s="7">
        <v>5</v>
      </c>
      <c r="H613" s="7">
        <v>5</v>
      </c>
      <c r="I613" s="7">
        <v>5</v>
      </c>
      <c r="J613" s="8">
        <v>5</v>
      </c>
    </row>
    <row r="614" spans="1:10" hidden="1" x14ac:dyDescent="0.25">
      <c r="A614" s="6">
        <v>512400</v>
      </c>
      <c r="B614" s="7">
        <v>1</v>
      </c>
      <c r="C614" s="7">
        <v>510.70707380546901</v>
      </c>
      <c r="D614" s="7">
        <v>4</v>
      </c>
      <c r="E614" s="1">
        <v>4</v>
      </c>
      <c r="F614" s="7">
        <v>5</v>
      </c>
      <c r="G614" s="7">
        <v>5</v>
      </c>
      <c r="H614" s="7">
        <v>5</v>
      </c>
      <c r="I614" s="7">
        <v>5</v>
      </c>
      <c r="J614" s="8">
        <v>5</v>
      </c>
    </row>
    <row r="615" spans="1:10" hidden="1" x14ac:dyDescent="0.25">
      <c r="A615" s="6">
        <v>512410</v>
      </c>
      <c r="B615" s="7">
        <v>1</v>
      </c>
      <c r="C615" s="7">
        <v>676.33585849018004</v>
      </c>
      <c r="D615" s="7">
        <v>3</v>
      </c>
      <c r="E615" s="1">
        <v>3</v>
      </c>
      <c r="F615" s="7">
        <v>5</v>
      </c>
      <c r="G615" s="7">
        <v>5</v>
      </c>
      <c r="H615" s="7">
        <v>5</v>
      </c>
      <c r="I615" s="7">
        <v>5</v>
      </c>
      <c r="J615" s="8">
        <v>5</v>
      </c>
    </row>
    <row r="616" spans="1:10" hidden="1" x14ac:dyDescent="0.25">
      <c r="A616" s="6">
        <v>512463</v>
      </c>
      <c r="B616" s="7">
        <v>2</v>
      </c>
      <c r="C616" s="7">
        <v>610.170779423108</v>
      </c>
      <c r="D616" s="7">
        <v>5</v>
      </c>
      <c r="E616" s="1">
        <v>5</v>
      </c>
      <c r="F616" s="7">
        <v>5</v>
      </c>
      <c r="G616" s="7">
        <v>5</v>
      </c>
      <c r="H616" s="7">
        <v>5</v>
      </c>
      <c r="I616" s="7">
        <v>5</v>
      </c>
      <c r="J616" s="8">
        <v>5</v>
      </c>
    </row>
    <row r="617" spans="1:10" hidden="1" x14ac:dyDescent="0.25">
      <c r="A617" s="6">
        <v>512559</v>
      </c>
      <c r="B617" s="7">
        <v>2</v>
      </c>
      <c r="C617" s="7">
        <v>24.9655109993463</v>
      </c>
      <c r="D617" s="7">
        <v>5</v>
      </c>
      <c r="E617" s="1">
        <v>5</v>
      </c>
      <c r="F617" s="7">
        <v>5</v>
      </c>
      <c r="G617" s="7">
        <v>5</v>
      </c>
      <c r="H617" s="7">
        <v>5</v>
      </c>
      <c r="I617" s="7">
        <v>5</v>
      </c>
      <c r="J617" s="8">
        <v>5</v>
      </c>
    </row>
    <row r="618" spans="1:10" hidden="1" x14ac:dyDescent="0.25">
      <c r="A618" s="6">
        <v>512561</v>
      </c>
      <c r="B618" s="7">
        <v>1</v>
      </c>
      <c r="C618" s="7">
        <v>572.52658273146005</v>
      </c>
      <c r="D618" s="7">
        <v>5</v>
      </c>
      <c r="E618" s="1">
        <v>5</v>
      </c>
      <c r="F618" s="7">
        <v>5</v>
      </c>
      <c r="G618" s="7">
        <v>5</v>
      </c>
      <c r="H618" s="7">
        <v>5</v>
      </c>
      <c r="I618" s="7">
        <v>5</v>
      </c>
      <c r="J618" s="8">
        <v>5</v>
      </c>
    </row>
    <row r="619" spans="1:10" x14ac:dyDescent="0.25">
      <c r="A619" s="6">
        <v>512619</v>
      </c>
      <c r="B619" s="7">
        <v>2</v>
      </c>
      <c r="C619" s="7">
        <v>276.52612232504202</v>
      </c>
      <c r="D619" s="7">
        <v>8</v>
      </c>
      <c r="E619" s="1">
        <v>8</v>
      </c>
      <c r="F619" s="7">
        <v>5</v>
      </c>
      <c r="G619" s="7">
        <v>5</v>
      </c>
      <c r="H619" s="7">
        <v>5</v>
      </c>
      <c r="I619" s="7">
        <v>5</v>
      </c>
      <c r="J619" s="8">
        <v>5</v>
      </c>
    </row>
    <row r="620" spans="1:10" hidden="1" x14ac:dyDescent="0.25">
      <c r="A620" s="6">
        <v>512700</v>
      </c>
      <c r="B620" s="7">
        <v>2</v>
      </c>
      <c r="C620" s="7">
        <v>366.85191881831503</v>
      </c>
      <c r="D620" s="7">
        <v>7</v>
      </c>
      <c r="E620" s="1">
        <v>7</v>
      </c>
      <c r="F620" s="7">
        <v>5</v>
      </c>
      <c r="G620" s="7">
        <v>5</v>
      </c>
      <c r="H620" s="7">
        <v>5</v>
      </c>
      <c r="I620" s="7">
        <v>5</v>
      </c>
      <c r="J620" s="8">
        <v>5</v>
      </c>
    </row>
    <row r="621" spans="1:10" hidden="1" x14ac:dyDescent="0.25">
      <c r="A621" s="6">
        <v>512758</v>
      </c>
      <c r="B621" s="7">
        <v>1</v>
      </c>
      <c r="C621" s="7">
        <v>760.89223508264195</v>
      </c>
      <c r="D621" s="7">
        <v>7</v>
      </c>
      <c r="E621" s="1">
        <v>7</v>
      </c>
      <c r="F621" s="7">
        <v>5</v>
      </c>
      <c r="G621" s="7">
        <v>5</v>
      </c>
      <c r="H621" s="7">
        <v>5</v>
      </c>
      <c r="I621" s="7">
        <v>5</v>
      </c>
      <c r="J621" s="8">
        <v>5</v>
      </c>
    </row>
    <row r="622" spans="1:10" x14ac:dyDescent="0.25">
      <c r="A622" s="6">
        <v>512783</v>
      </c>
      <c r="B622" s="7">
        <v>2</v>
      </c>
      <c r="C622" s="7">
        <v>2.9434124646759798</v>
      </c>
      <c r="D622" s="7">
        <v>9</v>
      </c>
      <c r="E622" s="1">
        <v>9</v>
      </c>
      <c r="F622" s="7">
        <v>5</v>
      </c>
      <c r="G622" s="7">
        <v>5</v>
      </c>
      <c r="H622" s="7">
        <v>5</v>
      </c>
      <c r="I622" s="7">
        <v>5</v>
      </c>
      <c r="J622" s="8">
        <v>5</v>
      </c>
    </row>
    <row r="623" spans="1:10" hidden="1" x14ac:dyDescent="0.25">
      <c r="A623" s="6">
        <v>512790</v>
      </c>
      <c r="B623" s="7">
        <v>1</v>
      </c>
      <c r="C623" s="7">
        <v>284.18781434704402</v>
      </c>
      <c r="D623" s="7">
        <v>3</v>
      </c>
      <c r="E623" s="1">
        <v>3</v>
      </c>
      <c r="F623" s="7">
        <v>5</v>
      </c>
      <c r="G623" s="7">
        <v>5</v>
      </c>
      <c r="H623" s="7">
        <v>5</v>
      </c>
      <c r="I623" s="7">
        <v>5</v>
      </c>
      <c r="J623" s="8">
        <v>5</v>
      </c>
    </row>
    <row r="624" spans="1:10" hidden="1" x14ac:dyDescent="0.25">
      <c r="A624" s="6">
        <v>512850</v>
      </c>
      <c r="B624" s="7">
        <v>1</v>
      </c>
      <c r="C624" s="7">
        <v>338.40465743182102</v>
      </c>
      <c r="D624" s="7">
        <v>2</v>
      </c>
      <c r="E624" s="1">
        <v>5</v>
      </c>
      <c r="F624" s="7">
        <v>5</v>
      </c>
      <c r="G624" s="7">
        <v>5</v>
      </c>
      <c r="H624" s="7">
        <v>5</v>
      </c>
      <c r="I624" s="7">
        <v>5</v>
      </c>
      <c r="J624" s="8">
        <v>5</v>
      </c>
    </row>
    <row r="625" spans="1:10" hidden="1" x14ac:dyDescent="0.25">
      <c r="A625" s="6">
        <v>512871</v>
      </c>
      <c r="B625" s="7">
        <v>2</v>
      </c>
      <c r="C625" s="7">
        <v>24.273857586442201</v>
      </c>
      <c r="D625" s="7">
        <v>2</v>
      </c>
      <c r="E625" s="1">
        <v>7</v>
      </c>
      <c r="F625" s="7">
        <v>5</v>
      </c>
      <c r="G625" s="7">
        <v>5</v>
      </c>
      <c r="H625" s="7">
        <v>5</v>
      </c>
      <c r="I625" s="7">
        <v>5</v>
      </c>
      <c r="J625" s="8">
        <v>5</v>
      </c>
    </row>
    <row r="626" spans="1:10" x14ac:dyDescent="0.25">
      <c r="A626" s="6">
        <v>512888</v>
      </c>
      <c r="B626" s="7">
        <v>2</v>
      </c>
      <c r="C626" s="7">
        <v>657.36784409464497</v>
      </c>
      <c r="D626" s="7">
        <v>8</v>
      </c>
      <c r="E626" s="1">
        <v>8</v>
      </c>
      <c r="F626" s="7">
        <v>5</v>
      </c>
      <c r="G626" s="7">
        <v>5</v>
      </c>
      <c r="H626" s="7">
        <v>5</v>
      </c>
      <c r="I626" s="7">
        <v>5</v>
      </c>
      <c r="J626" s="8">
        <v>5</v>
      </c>
    </row>
    <row r="627" spans="1:10" hidden="1" x14ac:dyDescent="0.25">
      <c r="A627" s="6">
        <v>512889</v>
      </c>
      <c r="B627" s="7">
        <v>1</v>
      </c>
      <c r="C627" s="7">
        <v>170.192471672295</v>
      </c>
      <c r="D627" s="7">
        <v>5</v>
      </c>
      <c r="E627" s="1">
        <v>7</v>
      </c>
      <c r="F627" s="7">
        <v>5</v>
      </c>
      <c r="G627" s="7">
        <v>5</v>
      </c>
      <c r="H627" s="7">
        <v>5</v>
      </c>
      <c r="I627" s="7">
        <v>5</v>
      </c>
      <c r="J627" s="8">
        <v>5</v>
      </c>
    </row>
    <row r="628" spans="1:10" hidden="1" x14ac:dyDescent="0.25">
      <c r="A628" s="6">
        <v>512900</v>
      </c>
      <c r="B628" s="7">
        <v>2</v>
      </c>
      <c r="C628" s="7">
        <v>18.1336791004776</v>
      </c>
      <c r="D628" s="7">
        <v>4</v>
      </c>
      <c r="E628" s="1">
        <v>4</v>
      </c>
      <c r="F628" s="7">
        <v>5</v>
      </c>
      <c r="G628" s="7">
        <v>5</v>
      </c>
      <c r="H628" s="7">
        <v>5</v>
      </c>
      <c r="I628" s="7">
        <v>5</v>
      </c>
      <c r="J628" s="8">
        <v>5</v>
      </c>
    </row>
    <row r="629" spans="1:10" x14ac:dyDescent="0.25">
      <c r="A629" s="6">
        <v>512909</v>
      </c>
      <c r="B629" s="7">
        <v>2</v>
      </c>
      <c r="C629" s="7">
        <v>186.87041221631699</v>
      </c>
      <c r="D629" s="7">
        <v>8</v>
      </c>
      <c r="E629" s="1">
        <v>8</v>
      </c>
      <c r="F629" s="7">
        <v>5</v>
      </c>
      <c r="G629" s="7">
        <v>5</v>
      </c>
      <c r="H629" s="7">
        <v>5</v>
      </c>
      <c r="I629" s="7">
        <v>5</v>
      </c>
      <c r="J629" s="8">
        <v>5</v>
      </c>
    </row>
    <row r="630" spans="1:10" hidden="1" x14ac:dyDescent="0.25">
      <c r="A630" s="6">
        <v>512919</v>
      </c>
      <c r="B630" s="7">
        <v>2</v>
      </c>
      <c r="C630" s="7">
        <v>2101.6975685809698</v>
      </c>
      <c r="D630" s="7">
        <v>5</v>
      </c>
      <c r="E630" s="1">
        <v>5</v>
      </c>
      <c r="F630" s="7">
        <v>5</v>
      </c>
      <c r="G630" s="7">
        <v>5</v>
      </c>
      <c r="H630" s="7">
        <v>5</v>
      </c>
      <c r="I630" s="7">
        <v>5</v>
      </c>
      <c r="J630" s="8">
        <v>5</v>
      </c>
    </row>
    <row r="631" spans="1:10" hidden="1" x14ac:dyDescent="0.25">
      <c r="A631" s="6">
        <v>512920</v>
      </c>
      <c r="B631" s="7">
        <v>1</v>
      </c>
      <c r="C631" s="7">
        <v>1251.9074662011601</v>
      </c>
      <c r="D631" s="7">
        <v>2</v>
      </c>
      <c r="E631" s="1">
        <v>5</v>
      </c>
      <c r="F631" s="7">
        <v>5</v>
      </c>
      <c r="G631" s="7">
        <v>1</v>
      </c>
      <c r="H631" s="7">
        <v>1</v>
      </c>
      <c r="I631" s="7">
        <v>5</v>
      </c>
      <c r="J631" s="8">
        <v>5</v>
      </c>
    </row>
    <row r="632" spans="1:10" x14ac:dyDescent="0.25">
      <c r="A632" s="6">
        <v>512944</v>
      </c>
      <c r="B632" s="7">
        <v>2</v>
      </c>
      <c r="C632" s="7">
        <v>120.661309802362</v>
      </c>
      <c r="D632" s="7">
        <v>8</v>
      </c>
      <c r="E632" s="1">
        <v>8</v>
      </c>
      <c r="F632" s="7">
        <v>5</v>
      </c>
      <c r="G632" s="7">
        <v>5</v>
      </c>
      <c r="H632" s="7">
        <v>5</v>
      </c>
      <c r="I632" s="7">
        <v>5</v>
      </c>
      <c r="J632" s="8">
        <v>5</v>
      </c>
    </row>
    <row r="633" spans="1:10" x14ac:dyDescent="0.25">
      <c r="A633" s="6">
        <v>512993</v>
      </c>
      <c r="B633" s="7">
        <v>2</v>
      </c>
      <c r="C633" s="7">
        <v>259.62078843398803</v>
      </c>
      <c r="D633" s="7">
        <v>6</v>
      </c>
      <c r="E633" s="1">
        <v>6</v>
      </c>
      <c r="F633" s="7">
        <v>5</v>
      </c>
      <c r="G633" s="7">
        <v>5</v>
      </c>
      <c r="H633" s="7">
        <v>5</v>
      </c>
      <c r="I633" s="7">
        <v>5</v>
      </c>
      <c r="J633" s="8">
        <v>5</v>
      </c>
    </row>
    <row r="634" spans="1:10" hidden="1" x14ac:dyDescent="0.25">
      <c r="A634" s="6">
        <v>512996</v>
      </c>
      <c r="B634" s="7">
        <v>1</v>
      </c>
      <c r="C634" s="7">
        <v>547.91003612105101</v>
      </c>
      <c r="D634" s="7">
        <v>4</v>
      </c>
      <c r="E634" s="1">
        <v>4</v>
      </c>
      <c r="F634" s="7">
        <v>5</v>
      </c>
      <c r="G634" s="7">
        <v>5</v>
      </c>
      <c r="H634" s="7">
        <v>5</v>
      </c>
      <c r="I634" s="7">
        <v>5</v>
      </c>
      <c r="J634" s="8">
        <v>5</v>
      </c>
    </row>
    <row r="635" spans="1:10" x14ac:dyDescent="0.25">
      <c r="A635" s="6">
        <v>512999</v>
      </c>
      <c r="B635" s="7">
        <v>2</v>
      </c>
      <c r="C635" s="7">
        <v>652.41672724492105</v>
      </c>
      <c r="D635" s="7">
        <v>8</v>
      </c>
      <c r="E635" s="1">
        <v>8</v>
      </c>
      <c r="F635" s="7">
        <v>5</v>
      </c>
      <c r="G635" s="7">
        <v>5</v>
      </c>
      <c r="H635" s="7">
        <v>5</v>
      </c>
      <c r="I635" s="7">
        <v>5</v>
      </c>
      <c r="J635" s="8">
        <v>5</v>
      </c>
    </row>
    <row r="636" spans="1:10" hidden="1" x14ac:dyDescent="0.25">
      <c r="A636" s="6">
        <v>513043</v>
      </c>
      <c r="B636" s="7">
        <v>1</v>
      </c>
      <c r="C636" s="7">
        <v>1017.88995194245</v>
      </c>
      <c r="D636" s="7">
        <v>5</v>
      </c>
      <c r="E636" s="1">
        <v>5</v>
      </c>
      <c r="F636" s="7">
        <v>5</v>
      </c>
      <c r="G636" s="7">
        <v>5</v>
      </c>
      <c r="H636" s="7">
        <v>5</v>
      </c>
      <c r="I636" s="7">
        <v>5</v>
      </c>
      <c r="J636" s="8">
        <v>5</v>
      </c>
    </row>
    <row r="637" spans="1:10" hidden="1" x14ac:dyDescent="0.25">
      <c r="A637" s="6">
        <v>513065</v>
      </c>
      <c r="B637" s="7">
        <v>1</v>
      </c>
      <c r="C637" s="7">
        <v>628.51347435572302</v>
      </c>
      <c r="D637" s="7">
        <v>4</v>
      </c>
      <c r="E637" s="1">
        <v>4</v>
      </c>
      <c r="F637" s="7">
        <v>5</v>
      </c>
      <c r="G637" s="7">
        <v>5</v>
      </c>
      <c r="H637" s="7">
        <v>5</v>
      </c>
      <c r="I637" s="7">
        <v>5</v>
      </c>
      <c r="J637" s="8">
        <v>5</v>
      </c>
    </row>
    <row r="638" spans="1:10" hidden="1" x14ac:dyDescent="0.25">
      <c r="A638" s="6">
        <v>513078</v>
      </c>
      <c r="B638" s="7">
        <v>1</v>
      </c>
      <c r="C638" s="7">
        <v>1103.83550871337</v>
      </c>
      <c r="D638" s="7">
        <v>3</v>
      </c>
      <c r="E638" s="1">
        <v>3</v>
      </c>
      <c r="F638" s="7">
        <v>5</v>
      </c>
      <c r="G638" s="7">
        <v>5</v>
      </c>
      <c r="H638" s="7">
        <v>5</v>
      </c>
      <c r="I638" s="7">
        <v>5</v>
      </c>
      <c r="J638" s="8">
        <v>5</v>
      </c>
    </row>
    <row r="639" spans="1:10" hidden="1" x14ac:dyDescent="0.25">
      <c r="A639" s="6">
        <v>513144</v>
      </c>
      <c r="B639" s="7">
        <v>2</v>
      </c>
      <c r="C639" s="7">
        <v>399.73810402883203</v>
      </c>
      <c r="D639" s="7">
        <v>4</v>
      </c>
      <c r="E639" s="1">
        <v>4</v>
      </c>
      <c r="F639" s="7">
        <v>5</v>
      </c>
      <c r="G639" s="7">
        <v>5</v>
      </c>
      <c r="H639" s="7">
        <v>5</v>
      </c>
      <c r="I639" s="7">
        <v>5</v>
      </c>
      <c r="J639" s="8">
        <v>5</v>
      </c>
    </row>
    <row r="640" spans="1:10" hidden="1" x14ac:dyDescent="0.25">
      <c r="A640" s="6">
        <v>513146</v>
      </c>
      <c r="B640" s="7">
        <v>1</v>
      </c>
      <c r="C640" s="7">
        <v>217.787574289129</v>
      </c>
      <c r="D640" s="7">
        <v>2</v>
      </c>
      <c r="E640" s="1">
        <v>4</v>
      </c>
      <c r="F640" s="7">
        <v>5</v>
      </c>
      <c r="G640" s="7">
        <v>5</v>
      </c>
      <c r="H640" s="7">
        <v>5</v>
      </c>
      <c r="I640" s="7">
        <v>5</v>
      </c>
      <c r="J640" s="8">
        <v>5</v>
      </c>
    </row>
    <row r="641" spans="1:10" hidden="1" x14ac:dyDescent="0.25">
      <c r="A641" s="6">
        <v>513180</v>
      </c>
      <c r="B641" s="7">
        <v>1</v>
      </c>
      <c r="C641" s="7">
        <v>527.21412819550301</v>
      </c>
      <c r="D641" s="7">
        <v>3</v>
      </c>
      <c r="E641" s="1">
        <v>3</v>
      </c>
      <c r="F641" s="7">
        <v>5</v>
      </c>
      <c r="G641" s="7">
        <v>5</v>
      </c>
      <c r="H641" s="7">
        <v>5</v>
      </c>
      <c r="I641" s="7">
        <v>5</v>
      </c>
      <c r="J641" s="8">
        <v>5</v>
      </c>
    </row>
    <row r="642" spans="1:10" hidden="1" x14ac:dyDescent="0.25">
      <c r="A642" s="6">
        <v>513191</v>
      </c>
      <c r="B642" s="7">
        <v>1</v>
      </c>
      <c r="C642" s="7">
        <v>1953.63720784364</v>
      </c>
      <c r="D642" s="7">
        <v>4</v>
      </c>
      <c r="E642" s="1">
        <v>4</v>
      </c>
      <c r="F642" s="7">
        <v>5</v>
      </c>
      <c r="G642" s="7">
        <v>5</v>
      </c>
      <c r="H642" s="7">
        <v>5</v>
      </c>
      <c r="I642" s="7">
        <v>5</v>
      </c>
      <c r="J642" s="8">
        <v>5</v>
      </c>
    </row>
    <row r="643" spans="1:10" hidden="1" x14ac:dyDescent="0.25">
      <c r="A643" s="6">
        <v>513192</v>
      </c>
      <c r="B643" s="7">
        <v>2</v>
      </c>
      <c r="C643" s="7">
        <v>282.353313747404</v>
      </c>
      <c r="D643" s="7">
        <v>7</v>
      </c>
      <c r="E643" s="1">
        <v>7</v>
      </c>
      <c r="F643" s="7">
        <v>5</v>
      </c>
      <c r="G643" s="7">
        <v>5</v>
      </c>
      <c r="H643" s="7">
        <v>5</v>
      </c>
      <c r="I643" s="7">
        <v>5</v>
      </c>
      <c r="J643" s="8">
        <v>5</v>
      </c>
    </row>
    <row r="644" spans="1:10" hidden="1" x14ac:dyDescent="0.25">
      <c r="A644" s="6">
        <v>513233</v>
      </c>
      <c r="B644" s="7">
        <v>2</v>
      </c>
      <c r="C644" s="7">
        <v>581.50070963170594</v>
      </c>
      <c r="D644" s="7">
        <v>5</v>
      </c>
      <c r="E644" s="1">
        <v>5</v>
      </c>
      <c r="F644" s="7">
        <v>5</v>
      </c>
      <c r="G644" s="7">
        <v>5</v>
      </c>
      <c r="H644" s="7">
        <v>5</v>
      </c>
      <c r="I644" s="7">
        <v>5</v>
      </c>
      <c r="J644" s="8">
        <v>5</v>
      </c>
    </row>
    <row r="645" spans="1:10" x14ac:dyDescent="0.25">
      <c r="A645" s="6">
        <v>513287</v>
      </c>
      <c r="B645" s="7">
        <v>2</v>
      </c>
      <c r="C645" s="7">
        <v>140.08479088985001</v>
      </c>
      <c r="D645" s="7">
        <v>8</v>
      </c>
      <c r="E645" s="1">
        <v>8</v>
      </c>
      <c r="F645" s="7">
        <v>5</v>
      </c>
      <c r="G645" s="7">
        <v>5</v>
      </c>
      <c r="H645" s="7">
        <v>5</v>
      </c>
      <c r="I645" s="7">
        <v>5</v>
      </c>
      <c r="J645" s="8">
        <v>5</v>
      </c>
    </row>
    <row r="646" spans="1:10" hidden="1" x14ac:dyDescent="0.25">
      <c r="A646" s="6">
        <v>513288</v>
      </c>
      <c r="B646" s="7">
        <v>2</v>
      </c>
      <c r="C646" s="7">
        <v>104.556039577207</v>
      </c>
      <c r="D646" s="7">
        <v>7</v>
      </c>
      <c r="E646" s="1">
        <v>7</v>
      </c>
      <c r="F646" s="7">
        <v>5</v>
      </c>
      <c r="G646" s="7">
        <v>5</v>
      </c>
      <c r="H646" s="7">
        <v>5</v>
      </c>
      <c r="I646" s="7">
        <v>5</v>
      </c>
      <c r="J646" s="8">
        <v>5</v>
      </c>
    </row>
    <row r="647" spans="1:10" hidden="1" x14ac:dyDescent="0.25">
      <c r="A647" s="6">
        <v>513303</v>
      </c>
      <c r="B647" s="7">
        <v>1</v>
      </c>
      <c r="C647" s="7">
        <v>1280.8793678557299</v>
      </c>
      <c r="D647" s="7">
        <v>4</v>
      </c>
      <c r="E647" s="1">
        <v>4</v>
      </c>
      <c r="F647" s="7">
        <v>5</v>
      </c>
      <c r="G647" s="7">
        <v>5</v>
      </c>
      <c r="H647" s="7">
        <v>5</v>
      </c>
      <c r="I647" s="7">
        <v>5</v>
      </c>
      <c r="J647" s="8">
        <v>5</v>
      </c>
    </row>
    <row r="648" spans="1:10" x14ac:dyDescent="0.25">
      <c r="A648" s="6">
        <v>513308</v>
      </c>
      <c r="B648" s="7">
        <v>2</v>
      </c>
      <c r="C648" s="7">
        <v>1044.4277611794701</v>
      </c>
      <c r="D648" s="7">
        <v>8</v>
      </c>
      <c r="E648" s="1">
        <v>8</v>
      </c>
      <c r="F648" s="7">
        <v>5</v>
      </c>
      <c r="G648" s="7">
        <v>5</v>
      </c>
      <c r="H648" s="7">
        <v>5</v>
      </c>
      <c r="I648" s="7">
        <v>5</v>
      </c>
      <c r="J648" s="8">
        <v>5</v>
      </c>
    </row>
    <row r="649" spans="1:10" hidden="1" x14ac:dyDescent="0.25">
      <c r="A649" s="6">
        <v>513328</v>
      </c>
      <c r="B649" s="7">
        <v>1</v>
      </c>
      <c r="C649" s="7">
        <v>73.547994141465495</v>
      </c>
      <c r="D649" s="7">
        <v>5</v>
      </c>
      <c r="E649" s="1">
        <v>5</v>
      </c>
      <c r="F649" s="7">
        <v>5</v>
      </c>
      <c r="G649" s="7">
        <v>5</v>
      </c>
      <c r="H649" s="7">
        <v>5</v>
      </c>
      <c r="I649" s="7">
        <v>5</v>
      </c>
      <c r="J649" s="8">
        <v>5</v>
      </c>
    </row>
    <row r="650" spans="1:10" hidden="1" x14ac:dyDescent="0.25">
      <c r="A650" s="6">
        <v>513402</v>
      </c>
      <c r="B650" s="7">
        <v>2</v>
      </c>
      <c r="C650" s="7">
        <v>200.552413611379</v>
      </c>
      <c r="D650" s="7">
        <v>7</v>
      </c>
      <c r="E650" s="1">
        <v>7</v>
      </c>
      <c r="F650" s="7">
        <v>5</v>
      </c>
      <c r="G650" s="7">
        <v>5</v>
      </c>
      <c r="H650" s="7">
        <v>5</v>
      </c>
      <c r="I650" s="7">
        <v>5</v>
      </c>
      <c r="J650" s="8">
        <v>5</v>
      </c>
    </row>
    <row r="651" spans="1:10" hidden="1" x14ac:dyDescent="0.25">
      <c r="A651" s="6">
        <v>513413</v>
      </c>
      <c r="B651" s="7">
        <v>1</v>
      </c>
      <c r="C651" s="7">
        <v>727.10029660139503</v>
      </c>
      <c r="D651" s="7">
        <v>1</v>
      </c>
      <c r="E651" s="1">
        <v>4</v>
      </c>
      <c r="F651" s="7">
        <v>5</v>
      </c>
      <c r="G651" s="7">
        <v>5</v>
      </c>
      <c r="H651" s="7">
        <v>5</v>
      </c>
      <c r="I651" s="7">
        <v>5</v>
      </c>
      <c r="J651" s="8">
        <v>5</v>
      </c>
    </row>
    <row r="652" spans="1:10" hidden="1" x14ac:dyDescent="0.25">
      <c r="A652" s="6">
        <v>513501</v>
      </c>
      <c r="B652" s="7">
        <v>1</v>
      </c>
      <c r="C652" s="7">
        <v>230.735327446262</v>
      </c>
      <c r="D652" s="7">
        <v>5</v>
      </c>
      <c r="E652" s="1">
        <v>5</v>
      </c>
      <c r="F652" s="7">
        <v>5</v>
      </c>
      <c r="G652" s="7">
        <v>5</v>
      </c>
      <c r="H652" s="7">
        <v>5</v>
      </c>
      <c r="I652" s="7">
        <v>5</v>
      </c>
      <c r="J652" s="8">
        <v>5</v>
      </c>
    </row>
    <row r="653" spans="1:10" x14ac:dyDescent="0.25">
      <c r="A653" s="6">
        <v>513576</v>
      </c>
      <c r="B653" s="7">
        <v>2</v>
      </c>
      <c r="C653" s="7">
        <v>511.59163565028501</v>
      </c>
      <c r="D653" s="7">
        <v>6</v>
      </c>
      <c r="E653" s="1">
        <v>5</v>
      </c>
      <c r="F653" s="7">
        <v>5</v>
      </c>
      <c r="G653" s="7">
        <v>5</v>
      </c>
      <c r="H653" s="7">
        <v>5</v>
      </c>
      <c r="I653" s="7">
        <v>5</v>
      </c>
      <c r="J653" s="8">
        <v>5</v>
      </c>
    </row>
    <row r="654" spans="1:10" hidden="1" x14ac:dyDescent="0.25">
      <c r="A654" s="6">
        <v>513662</v>
      </c>
      <c r="B654" s="7">
        <v>2</v>
      </c>
      <c r="C654" s="7">
        <v>424.487736163318</v>
      </c>
      <c r="D654" s="7">
        <v>7</v>
      </c>
      <c r="E654" s="1">
        <v>7</v>
      </c>
      <c r="F654" s="7">
        <v>5</v>
      </c>
      <c r="G654" s="7">
        <v>5</v>
      </c>
      <c r="H654" s="7">
        <v>5</v>
      </c>
      <c r="I654" s="7">
        <v>5</v>
      </c>
      <c r="J654" s="8">
        <v>5</v>
      </c>
    </row>
    <row r="655" spans="1:10" x14ac:dyDescent="0.25">
      <c r="A655" s="6">
        <v>513680</v>
      </c>
      <c r="B655" s="7">
        <v>2</v>
      </c>
      <c r="C655" s="7">
        <v>288.960661681462</v>
      </c>
      <c r="D655" s="7">
        <v>8</v>
      </c>
      <c r="E655" s="1">
        <v>8</v>
      </c>
      <c r="F655" s="7">
        <v>5</v>
      </c>
      <c r="G655" s="7">
        <v>5</v>
      </c>
      <c r="H655" s="7">
        <v>5</v>
      </c>
      <c r="I655" s="7">
        <v>5</v>
      </c>
      <c r="J655" s="8">
        <v>5</v>
      </c>
    </row>
    <row r="656" spans="1:10" x14ac:dyDescent="0.25">
      <c r="A656" s="6">
        <v>513721</v>
      </c>
      <c r="B656" s="7">
        <v>2</v>
      </c>
      <c r="C656" s="7">
        <v>537.82287572703206</v>
      </c>
      <c r="D656" s="7">
        <v>8</v>
      </c>
      <c r="E656" s="1">
        <v>8</v>
      </c>
      <c r="F656" s="7">
        <v>5</v>
      </c>
      <c r="G656" s="7">
        <v>5</v>
      </c>
      <c r="H656" s="7">
        <v>5</v>
      </c>
      <c r="I656" s="7">
        <v>5</v>
      </c>
      <c r="J656" s="8">
        <v>5</v>
      </c>
    </row>
    <row r="657" spans="1:10" hidden="1" x14ac:dyDescent="0.25">
      <c r="A657" s="6">
        <v>513741</v>
      </c>
      <c r="B657" s="7">
        <v>2</v>
      </c>
      <c r="C657" s="7">
        <v>403.38195672617002</v>
      </c>
      <c r="D657" s="7">
        <v>5</v>
      </c>
      <c r="E657" s="1">
        <v>5</v>
      </c>
      <c r="F657" s="7">
        <v>5</v>
      </c>
      <c r="G657" s="7">
        <v>5</v>
      </c>
      <c r="H657" s="7">
        <v>5</v>
      </c>
      <c r="I657" s="7">
        <v>5</v>
      </c>
      <c r="J657" s="8">
        <v>5</v>
      </c>
    </row>
    <row r="658" spans="1:10" x14ac:dyDescent="0.25">
      <c r="A658" s="6">
        <v>513748</v>
      </c>
      <c r="B658" s="7">
        <v>2</v>
      </c>
      <c r="C658" s="7">
        <v>855.75640596786695</v>
      </c>
      <c r="D658" s="7">
        <v>8</v>
      </c>
      <c r="E658" s="1">
        <v>8</v>
      </c>
      <c r="F658" s="7">
        <v>5</v>
      </c>
      <c r="G658" s="7">
        <v>5</v>
      </c>
      <c r="H658" s="7">
        <v>5</v>
      </c>
      <c r="I658" s="7">
        <v>5</v>
      </c>
      <c r="J658" s="8">
        <v>5</v>
      </c>
    </row>
    <row r="659" spans="1:10" hidden="1" x14ac:dyDescent="0.25">
      <c r="A659" s="6">
        <v>513803</v>
      </c>
      <c r="B659" s="7">
        <v>2</v>
      </c>
      <c r="C659" s="7">
        <v>1004.83688023528</v>
      </c>
      <c r="D659" s="7">
        <v>5</v>
      </c>
      <c r="E659" s="1">
        <v>6</v>
      </c>
      <c r="F659" s="7">
        <v>5</v>
      </c>
      <c r="G659" s="7">
        <v>5</v>
      </c>
      <c r="H659" s="7">
        <v>5</v>
      </c>
      <c r="I659" s="7">
        <v>5</v>
      </c>
      <c r="J659" s="8">
        <v>5</v>
      </c>
    </row>
    <row r="660" spans="1:10" hidden="1" x14ac:dyDescent="0.25">
      <c r="A660" s="6">
        <v>513806</v>
      </c>
      <c r="B660" s="7">
        <v>1</v>
      </c>
      <c r="C660" s="7">
        <v>547.13266645096701</v>
      </c>
      <c r="D660" s="7">
        <v>5</v>
      </c>
      <c r="E660" s="1">
        <v>5</v>
      </c>
      <c r="F660" s="7">
        <v>5</v>
      </c>
      <c r="G660" s="7">
        <v>5</v>
      </c>
      <c r="H660" s="7">
        <v>5</v>
      </c>
      <c r="I660" s="7">
        <v>5</v>
      </c>
      <c r="J660" s="8">
        <v>5</v>
      </c>
    </row>
    <row r="661" spans="1:10" x14ac:dyDescent="0.25">
      <c r="A661" s="6">
        <v>513809</v>
      </c>
      <c r="B661" s="7">
        <v>2</v>
      </c>
      <c r="C661" s="7">
        <v>217.605543661269</v>
      </c>
      <c r="D661" s="7">
        <v>6</v>
      </c>
      <c r="E661" s="1">
        <v>7</v>
      </c>
      <c r="F661" s="7">
        <v>5</v>
      </c>
      <c r="G661" s="7">
        <v>5</v>
      </c>
      <c r="H661" s="7">
        <v>5</v>
      </c>
      <c r="I661" s="7">
        <v>5</v>
      </c>
      <c r="J661" s="8">
        <v>5</v>
      </c>
    </row>
    <row r="662" spans="1:10" hidden="1" x14ac:dyDescent="0.25">
      <c r="A662" s="6">
        <v>513819</v>
      </c>
      <c r="B662" s="7">
        <v>2</v>
      </c>
      <c r="C662" s="7">
        <v>27.394461742699999</v>
      </c>
      <c r="D662" s="7">
        <v>5</v>
      </c>
      <c r="E662" s="1">
        <v>5</v>
      </c>
      <c r="F662" s="7">
        <v>5</v>
      </c>
      <c r="G662" s="7">
        <v>5</v>
      </c>
      <c r="H662" s="7">
        <v>5</v>
      </c>
      <c r="I662" s="7">
        <v>5</v>
      </c>
      <c r="J662" s="8">
        <v>5</v>
      </c>
    </row>
    <row r="663" spans="1:10" hidden="1" x14ac:dyDescent="0.25">
      <c r="A663" s="6">
        <v>513828</v>
      </c>
      <c r="B663" s="7">
        <v>2</v>
      </c>
      <c r="C663" s="7">
        <v>100.055901469771</v>
      </c>
      <c r="D663" s="7">
        <v>5</v>
      </c>
      <c r="E663" s="1">
        <v>5</v>
      </c>
      <c r="F663" s="7">
        <v>5</v>
      </c>
      <c r="G663" s="7">
        <v>5</v>
      </c>
      <c r="H663" s="7">
        <v>5</v>
      </c>
      <c r="I663" s="7">
        <v>5</v>
      </c>
      <c r="J663" s="8">
        <v>5</v>
      </c>
    </row>
    <row r="664" spans="1:10" hidden="1" x14ac:dyDescent="0.25">
      <c r="A664" s="6">
        <v>513830</v>
      </c>
      <c r="B664" s="7">
        <v>2</v>
      </c>
      <c r="C664" s="7">
        <v>30.422618656173</v>
      </c>
      <c r="D664" s="7">
        <v>2</v>
      </c>
      <c r="E664" s="1">
        <v>8</v>
      </c>
      <c r="F664" s="7">
        <v>5</v>
      </c>
      <c r="G664" s="7">
        <v>5</v>
      </c>
      <c r="H664" s="7">
        <v>5</v>
      </c>
      <c r="I664" s="7">
        <v>5</v>
      </c>
      <c r="J664" s="8">
        <v>5</v>
      </c>
    </row>
    <row r="665" spans="1:10" hidden="1" x14ac:dyDescent="0.25">
      <c r="A665" s="6">
        <v>513834</v>
      </c>
      <c r="B665" s="7">
        <v>2</v>
      </c>
      <c r="C665" s="7">
        <v>798.90131061513</v>
      </c>
      <c r="D665" s="7">
        <v>5</v>
      </c>
      <c r="E665" s="1">
        <v>5</v>
      </c>
      <c r="F665" s="7">
        <v>5</v>
      </c>
      <c r="G665" s="7">
        <v>5</v>
      </c>
      <c r="H665" s="7">
        <v>5</v>
      </c>
      <c r="I665" s="7">
        <v>5</v>
      </c>
      <c r="J665" s="8">
        <v>5</v>
      </c>
    </row>
    <row r="666" spans="1:10" hidden="1" x14ac:dyDescent="0.25">
      <c r="A666" s="6">
        <v>513835</v>
      </c>
      <c r="B666" s="7">
        <v>1</v>
      </c>
      <c r="C666" s="7">
        <v>772.60254245942394</v>
      </c>
      <c r="D666" s="7">
        <v>3</v>
      </c>
      <c r="E666" s="1">
        <v>3</v>
      </c>
      <c r="F666" s="7">
        <v>5</v>
      </c>
      <c r="G666" s="7">
        <v>5</v>
      </c>
      <c r="H666" s="7">
        <v>5</v>
      </c>
      <c r="I666" s="7">
        <v>5</v>
      </c>
      <c r="J666" s="8">
        <v>5</v>
      </c>
    </row>
    <row r="667" spans="1:10" hidden="1" x14ac:dyDescent="0.25">
      <c r="A667" s="6">
        <v>513849</v>
      </c>
      <c r="B667" s="7">
        <v>2</v>
      </c>
      <c r="C667" s="7">
        <v>118.22828844092901</v>
      </c>
      <c r="D667" s="7">
        <v>5</v>
      </c>
      <c r="E667" s="1">
        <v>5</v>
      </c>
      <c r="F667" s="7">
        <v>5</v>
      </c>
      <c r="G667" s="7">
        <v>5</v>
      </c>
      <c r="H667" s="7">
        <v>5</v>
      </c>
      <c r="I667" s="7">
        <v>5</v>
      </c>
      <c r="J667" s="8">
        <v>5</v>
      </c>
    </row>
    <row r="668" spans="1:10" x14ac:dyDescent="0.25">
      <c r="A668" s="6">
        <v>513909</v>
      </c>
      <c r="B668" s="7">
        <v>2</v>
      </c>
      <c r="C668" s="7">
        <v>443.41598151788003</v>
      </c>
      <c r="D668" s="7">
        <v>6</v>
      </c>
      <c r="E668" s="1">
        <v>4</v>
      </c>
      <c r="F668" s="7">
        <v>5</v>
      </c>
      <c r="G668" s="7">
        <v>1</v>
      </c>
      <c r="H668" s="7">
        <v>1</v>
      </c>
      <c r="I668" s="7">
        <v>5</v>
      </c>
      <c r="J668" s="8">
        <v>5</v>
      </c>
    </row>
    <row r="669" spans="1:10" hidden="1" x14ac:dyDescent="0.25">
      <c r="A669" s="6">
        <v>513928</v>
      </c>
      <c r="B669" s="7">
        <v>1</v>
      </c>
      <c r="C669" s="7">
        <v>160.447972361658</v>
      </c>
      <c r="D669" s="7">
        <v>4</v>
      </c>
      <c r="E669" s="1">
        <v>4</v>
      </c>
      <c r="F669" s="7">
        <v>5</v>
      </c>
      <c r="G669" s="7">
        <v>5</v>
      </c>
      <c r="H669" s="7">
        <v>5</v>
      </c>
      <c r="I669" s="7">
        <v>5</v>
      </c>
      <c r="J669" s="8">
        <v>5</v>
      </c>
    </row>
    <row r="670" spans="1:10" hidden="1" x14ac:dyDescent="0.25">
      <c r="A670" s="6">
        <v>513951</v>
      </c>
      <c r="B670" s="7">
        <v>1</v>
      </c>
      <c r="C670" s="7">
        <v>2057.0823390109799</v>
      </c>
      <c r="D670" s="7">
        <v>2</v>
      </c>
      <c r="E670" s="1">
        <v>5</v>
      </c>
      <c r="F670" s="7">
        <v>5</v>
      </c>
      <c r="G670" s="7">
        <v>5</v>
      </c>
      <c r="H670" s="7">
        <v>5</v>
      </c>
      <c r="I670" s="7">
        <v>5</v>
      </c>
      <c r="J670" s="8">
        <v>5</v>
      </c>
    </row>
    <row r="671" spans="1:10" hidden="1" x14ac:dyDescent="0.25">
      <c r="A671" s="6">
        <v>513964</v>
      </c>
      <c r="B671" s="7">
        <v>1</v>
      </c>
      <c r="C671" s="7">
        <v>1358.75210076909</v>
      </c>
      <c r="D671" s="7">
        <v>7</v>
      </c>
      <c r="E671" s="1">
        <v>7</v>
      </c>
      <c r="F671" s="7">
        <v>5</v>
      </c>
      <c r="G671" s="7">
        <v>5</v>
      </c>
      <c r="H671" s="7">
        <v>5</v>
      </c>
      <c r="I671" s="7">
        <v>5</v>
      </c>
      <c r="J671" s="8">
        <v>5</v>
      </c>
    </row>
    <row r="672" spans="1:10" hidden="1" x14ac:dyDescent="0.25">
      <c r="A672" s="6">
        <v>513966</v>
      </c>
      <c r="B672" s="7">
        <v>2</v>
      </c>
      <c r="C672" s="7">
        <v>251.850273827704</v>
      </c>
      <c r="D672" s="7">
        <v>7</v>
      </c>
      <c r="E672" s="1">
        <v>6</v>
      </c>
      <c r="F672" s="7">
        <v>5</v>
      </c>
      <c r="G672" s="7">
        <v>5</v>
      </c>
      <c r="H672" s="7">
        <v>5</v>
      </c>
      <c r="I672" s="7">
        <v>5</v>
      </c>
      <c r="J672" s="8">
        <v>5</v>
      </c>
    </row>
    <row r="673" spans="1:10" hidden="1" x14ac:dyDescent="0.25">
      <c r="A673" s="6">
        <v>513969</v>
      </c>
      <c r="B673" s="7">
        <v>2</v>
      </c>
      <c r="C673" s="7">
        <v>419.69316419747503</v>
      </c>
      <c r="D673" s="7">
        <v>5</v>
      </c>
      <c r="E673" s="1">
        <v>5</v>
      </c>
      <c r="F673" s="7">
        <v>5</v>
      </c>
      <c r="G673" s="7">
        <v>5</v>
      </c>
      <c r="H673" s="7">
        <v>5</v>
      </c>
      <c r="I673" s="7">
        <v>5</v>
      </c>
      <c r="J673" s="8">
        <v>5</v>
      </c>
    </row>
    <row r="674" spans="1:10" hidden="1" x14ac:dyDescent="0.25">
      <c r="A674" s="6">
        <v>514032</v>
      </c>
      <c r="B674" s="7">
        <v>2</v>
      </c>
      <c r="C674" s="7">
        <v>126.674197815924</v>
      </c>
      <c r="D674" s="7">
        <v>7</v>
      </c>
      <c r="E674" s="1">
        <v>6</v>
      </c>
      <c r="F674" s="7">
        <v>5</v>
      </c>
      <c r="G674" s="7">
        <v>5</v>
      </c>
      <c r="H674" s="7">
        <v>5</v>
      </c>
      <c r="I674" s="7">
        <v>5</v>
      </c>
      <c r="J674" s="8">
        <v>5</v>
      </c>
    </row>
    <row r="675" spans="1:10" hidden="1" x14ac:dyDescent="0.25">
      <c r="A675" s="6">
        <v>514035</v>
      </c>
      <c r="B675" s="7">
        <v>2</v>
      </c>
      <c r="C675" s="7">
        <v>1046.85339012393</v>
      </c>
      <c r="D675" s="7">
        <v>5</v>
      </c>
      <c r="E675" s="1">
        <v>8</v>
      </c>
      <c r="F675" s="7">
        <v>5</v>
      </c>
      <c r="G675" s="7">
        <v>5</v>
      </c>
      <c r="H675" s="7">
        <v>5</v>
      </c>
      <c r="I675" s="7">
        <v>5</v>
      </c>
      <c r="J675" s="8">
        <v>5</v>
      </c>
    </row>
    <row r="676" spans="1:10" hidden="1" x14ac:dyDescent="0.25">
      <c r="A676" s="6">
        <v>514075</v>
      </c>
      <c r="B676" s="7">
        <v>1</v>
      </c>
      <c r="C676" s="7">
        <v>551.833170180617</v>
      </c>
      <c r="D676" s="7">
        <v>2</v>
      </c>
      <c r="E676" s="1">
        <v>4</v>
      </c>
      <c r="F676" s="7">
        <v>5</v>
      </c>
      <c r="G676" s="7">
        <v>5</v>
      </c>
      <c r="H676" s="7">
        <v>5</v>
      </c>
      <c r="I676" s="7">
        <v>5</v>
      </c>
      <c r="J676" s="8">
        <v>5</v>
      </c>
    </row>
    <row r="677" spans="1:10" hidden="1" x14ac:dyDescent="0.25">
      <c r="A677" s="6">
        <v>514114</v>
      </c>
      <c r="B677" s="7">
        <v>2</v>
      </c>
      <c r="C677" s="7">
        <v>25.937664434794801</v>
      </c>
      <c r="D677" s="7">
        <v>7</v>
      </c>
      <c r="E677" s="1">
        <v>7</v>
      </c>
      <c r="F677" s="7">
        <v>5</v>
      </c>
      <c r="G677" s="7">
        <v>5</v>
      </c>
      <c r="H677" s="7">
        <v>5</v>
      </c>
      <c r="I677" s="7">
        <v>5</v>
      </c>
      <c r="J677" s="8">
        <v>5</v>
      </c>
    </row>
    <row r="678" spans="1:10" hidden="1" x14ac:dyDescent="0.25">
      <c r="A678" s="6">
        <v>514211</v>
      </c>
      <c r="B678" s="7">
        <v>1</v>
      </c>
      <c r="C678" s="7">
        <v>723.85608453378404</v>
      </c>
      <c r="D678" s="7">
        <v>1</v>
      </c>
      <c r="E678" s="1">
        <v>4</v>
      </c>
      <c r="F678" s="7">
        <v>5</v>
      </c>
      <c r="G678" s="7">
        <v>5</v>
      </c>
      <c r="H678" s="7">
        <v>5</v>
      </c>
      <c r="I678" s="7">
        <v>5</v>
      </c>
      <c r="J678" s="8">
        <v>5</v>
      </c>
    </row>
    <row r="679" spans="1:10" hidden="1" x14ac:dyDescent="0.25">
      <c r="A679" s="6">
        <v>514217</v>
      </c>
      <c r="B679" s="7">
        <v>2</v>
      </c>
      <c r="C679" s="7">
        <v>419.66811656445401</v>
      </c>
      <c r="D679" s="7">
        <v>5</v>
      </c>
      <c r="E679" s="1">
        <v>5</v>
      </c>
      <c r="F679" s="7">
        <v>5</v>
      </c>
      <c r="G679" s="7">
        <v>5</v>
      </c>
      <c r="H679" s="7">
        <v>5</v>
      </c>
      <c r="I679" s="7">
        <v>5</v>
      </c>
      <c r="J679" s="8">
        <v>5</v>
      </c>
    </row>
    <row r="680" spans="1:10" hidden="1" x14ac:dyDescent="0.25">
      <c r="A680" s="6">
        <v>514228</v>
      </c>
      <c r="B680" s="7">
        <v>1</v>
      </c>
      <c r="C680" s="7">
        <v>1169.3334713658001</v>
      </c>
      <c r="D680" s="7">
        <v>2</v>
      </c>
      <c r="E680" s="1">
        <v>3</v>
      </c>
      <c r="F680" s="7">
        <v>5</v>
      </c>
      <c r="G680" s="7">
        <v>5</v>
      </c>
      <c r="H680" s="7">
        <v>5</v>
      </c>
      <c r="I680" s="7">
        <v>5</v>
      </c>
      <c r="J680" s="8">
        <v>5</v>
      </c>
    </row>
    <row r="681" spans="1:10" hidden="1" x14ac:dyDescent="0.25">
      <c r="A681" s="6">
        <v>514286</v>
      </c>
      <c r="B681" s="7">
        <v>2</v>
      </c>
      <c r="C681" s="7">
        <v>24.182279281719701</v>
      </c>
      <c r="D681" s="7">
        <v>7</v>
      </c>
      <c r="E681" s="1">
        <v>7</v>
      </c>
      <c r="F681" s="7">
        <v>5</v>
      </c>
      <c r="G681" s="7">
        <v>5</v>
      </c>
      <c r="H681" s="7">
        <v>5</v>
      </c>
      <c r="I681" s="7">
        <v>5</v>
      </c>
      <c r="J681" s="8">
        <v>5</v>
      </c>
    </row>
    <row r="682" spans="1:10" hidden="1" x14ac:dyDescent="0.25">
      <c r="A682" s="6">
        <v>514332</v>
      </c>
      <c r="B682" s="7">
        <v>2</v>
      </c>
      <c r="C682" s="7">
        <v>157.589683236181</v>
      </c>
      <c r="D682" s="7">
        <v>5</v>
      </c>
      <c r="E682" s="1">
        <v>5</v>
      </c>
      <c r="F682" s="7">
        <v>5</v>
      </c>
      <c r="G682" s="7">
        <v>5</v>
      </c>
      <c r="H682" s="7">
        <v>5</v>
      </c>
      <c r="I682" s="7">
        <v>5</v>
      </c>
      <c r="J682" s="8">
        <v>5</v>
      </c>
    </row>
    <row r="683" spans="1:10" hidden="1" x14ac:dyDescent="0.25">
      <c r="A683" s="6">
        <v>514334</v>
      </c>
      <c r="B683" s="7">
        <v>2</v>
      </c>
      <c r="C683" s="7">
        <v>256.67616675484197</v>
      </c>
      <c r="D683" s="7">
        <v>5</v>
      </c>
      <c r="E683" s="1">
        <v>5</v>
      </c>
      <c r="F683" s="7">
        <v>5</v>
      </c>
      <c r="G683" s="7">
        <v>5</v>
      </c>
      <c r="H683" s="7">
        <v>5</v>
      </c>
      <c r="I683" s="7">
        <v>5</v>
      </c>
      <c r="J683" s="8">
        <v>5</v>
      </c>
    </row>
    <row r="684" spans="1:10" hidden="1" x14ac:dyDescent="0.25">
      <c r="A684" s="6">
        <v>514407</v>
      </c>
      <c r="B684" s="7">
        <v>1</v>
      </c>
      <c r="C684" s="7">
        <v>666.36415931286797</v>
      </c>
      <c r="D684" s="7">
        <v>5</v>
      </c>
      <c r="E684" s="1">
        <v>5</v>
      </c>
      <c r="F684" s="7">
        <v>5</v>
      </c>
      <c r="G684" s="7">
        <v>5</v>
      </c>
      <c r="H684" s="7">
        <v>5</v>
      </c>
      <c r="I684" s="7">
        <v>5</v>
      </c>
      <c r="J684" s="8">
        <v>5</v>
      </c>
    </row>
    <row r="685" spans="1:10" hidden="1" x14ac:dyDescent="0.25">
      <c r="A685" s="6">
        <v>514413</v>
      </c>
      <c r="B685" s="7">
        <v>1</v>
      </c>
      <c r="C685" s="7">
        <v>920.98336907041801</v>
      </c>
      <c r="D685" s="7">
        <v>3</v>
      </c>
      <c r="E685" s="1">
        <v>3</v>
      </c>
      <c r="F685" s="7">
        <v>5</v>
      </c>
      <c r="G685" s="7">
        <v>5</v>
      </c>
      <c r="H685" s="7">
        <v>5</v>
      </c>
      <c r="I685" s="7">
        <v>5</v>
      </c>
      <c r="J685" s="8">
        <v>5</v>
      </c>
    </row>
    <row r="686" spans="1:10" hidden="1" x14ac:dyDescent="0.25">
      <c r="A686" s="6">
        <v>514440</v>
      </c>
      <c r="B686" s="7">
        <v>2</v>
      </c>
      <c r="C686" s="7">
        <v>85.803033823135294</v>
      </c>
      <c r="D686" s="7">
        <v>5</v>
      </c>
      <c r="E686" s="1">
        <v>8</v>
      </c>
      <c r="F686" s="7">
        <v>5</v>
      </c>
      <c r="G686" s="7">
        <v>5</v>
      </c>
      <c r="H686" s="7">
        <v>5</v>
      </c>
      <c r="I686" s="7">
        <v>5</v>
      </c>
      <c r="J686" s="8">
        <v>5</v>
      </c>
    </row>
    <row r="687" spans="1:10" hidden="1" x14ac:dyDescent="0.25">
      <c r="A687" s="6">
        <v>514446</v>
      </c>
      <c r="B687" s="7">
        <v>1</v>
      </c>
      <c r="C687" s="7">
        <v>1522.14735359305</v>
      </c>
      <c r="D687" s="7">
        <v>4</v>
      </c>
      <c r="E687" s="1">
        <v>4</v>
      </c>
      <c r="F687" s="7">
        <v>5</v>
      </c>
      <c r="G687" s="7">
        <v>5</v>
      </c>
      <c r="H687" s="7">
        <v>5</v>
      </c>
      <c r="I687" s="7">
        <v>5</v>
      </c>
      <c r="J687" s="8">
        <v>5</v>
      </c>
    </row>
    <row r="688" spans="1:10" hidden="1" x14ac:dyDescent="0.25">
      <c r="A688" s="6">
        <v>514456</v>
      </c>
      <c r="B688" s="7">
        <v>1</v>
      </c>
      <c r="C688" s="7">
        <v>697.69245566250402</v>
      </c>
      <c r="D688" s="7">
        <v>3</v>
      </c>
      <c r="E688" s="1">
        <v>3</v>
      </c>
      <c r="F688" s="7">
        <v>5</v>
      </c>
      <c r="G688" s="7">
        <v>5</v>
      </c>
      <c r="H688" s="7">
        <v>5</v>
      </c>
      <c r="I688" s="7">
        <v>5</v>
      </c>
      <c r="J688" s="8">
        <v>5</v>
      </c>
    </row>
    <row r="689" spans="1:10" hidden="1" x14ac:dyDescent="0.25">
      <c r="A689" s="6">
        <v>514483</v>
      </c>
      <c r="B689" s="7">
        <v>2</v>
      </c>
      <c r="C689" s="7">
        <v>1697.10820502771</v>
      </c>
      <c r="D689" s="7">
        <v>5</v>
      </c>
      <c r="E689" s="1">
        <v>5</v>
      </c>
      <c r="F689" s="7">
        <v>5</v>
      </c>
      <c r="G689" s="7">
        <v>5</v>
      </c>
      <c r="H689" s="7">
        <v>5</v>
      </c>
      <c r="I689" s="7">
        <v>5</v>
      </c>
      <c r="J689" s="8">
        <v>5</v>
      </c>
    </row>
    <row r="690" spans="1:10" x14ac:dyDescent="0.25">
      <c r="A690" s="6">
        <v>514494</v>
      </c>
      <c r="B690" s="7">
        <v>2</v>
      </c>
      <c r="C690" s="7">
        <v>128.45401939376501</v>
      </c>
      <c r="D690" s="7">
        <v>9</v>
      </c>
      <c r="E690" s="1">
        <v>9</v>
      </c>
      <c r="F690" s="7">
        <v>5</v>
      </c>
      <c r="G690" s="7">
        <v>5</v>
      </c>
      <c r="H690" s="7">
        <v>5</v>
      </c>
      <c r="I690" s="7">
        <v>5</v>
      </c>
      <c r="J690" s="8">
        <v>5</v>
      </c>
    </row>
    <row r="691" spans="1:10" hidden="1" x14ac:dyDescent="0.25">
      <c r="A691" s="6">
        <v>514506</v>
      </c>
      <c r="B691" s="7">
        <v>1</v>
      </c>
      <c r="C691" s="7">
        <v>605.42959115962606</v>
      </c>
      <c r="D691" s="7">
        <v>7</v>
      </c>
      <c r="E691" s="1">
        <v>7</v>
      </c>
      <c r="F691" s="7">
        <v>5</v>
      </c>
      <c r="G691" s="7">
        <v>5</v>
      </c>
      <c r="H691" s="7">
        <v>5</v>
      </c>
      <c r="I691" s="7">
        <v>5</v>
      </c>
      <c r="J691" s="8">
        <v>5</v>
      </c>
    </row>
    <row r="692" spans="1:10" hidden="1" x14ac:dyDescent="0.25">
      <c r="A692" s="6">
        <v>514595</v>
      </c>
      <c r="B692" s="7">
        <v>2</v>
      </c>
      <c r="C692" s="7">
        <v>30.422618656173</v>
      </c>
      <c r="D692" s="7">
        <v>5</v>
      </c>
      <c r="E692" s="1">
        <v>5</v>
      </c>
      <c r="F692" s="7">
        <v>5</v>
      </c>
      <c r="G692" s="7">
        <v>5</v>
      </c>
      <c r="H692" s="7">
        <v>5</v>
      </c>
      <c r="I692" s="7">
        <v>5</v>
      </c>
      <c r="J692" s="8">
        <v>5</v>
      </c>
    </row>
    <row r="693" spans="1:10" x14ac:dyDescent="0.25">
      <c r="A693" s="6">
        <v>514609</v>
      </c>
      <c r="B693" s="7">
        <v>2</v>
      </c>
      <c r="C693" s="7">
        <v>440.30440360155802</v>
      </c>
      <c r="D693" s="7">
        <v>8</v>
      </c>
      <c r="E693" s="1">
        <v>8</v>
      </c>
      <c r="F693" s="7">
        <v>5</v>
      </c>
      <c r="G693" s="7">
        <v>5</v>
      </c>
      <c r="H693" s="7">
        <v>5</v>
      </c>
      <c r="I693" s="7">
        <v>5</v>
      </c>
      <c r="J693" s="8">
        <v>5</v>
      </c>
    </row>
    <row r="694" spans="1:10" hidden="1" x14ac:dyDescent="0.25">
      <c r="A694" s="6">
        <v>514712</v>
      </c>
      <c r="B694" s="7">
        <v>2</v>
      </c>
      <c r="C694" s="7">
        <v>136.97179553674201</v>
      </c>
      <c r="D694" s="7">
        <v>7</v>
      </c>
      <c r="E694" s="1">
        <v>7</v>
      </c>
      <c r="F694" s="7">
        <v>5</v>
      </c>
      <c r="G694" s="7">
        <v>5</v>
      </c>
      <c r="H694" s="7">
        <v>5</v>
      </c>
      <c r="I694" s="7">
        <v>5</v>
      </c>
      <c r="J694" s="8">
        <v>5</v>
      </c>
    </row>
    <row r="695" spans="1:10" hidden="1" x14ac:dyDescent="0.25">
      <c r="A695" s="6">
        <v>514722</v>
      </c>
      <c r="B695" s="7">
        <v>2</v>
      </c>
      <c r="C695" s="7">
        <v>642.51302114553903</v>
      </c>
      <c r="D695" s="7">
        <v>5</v>
      </c>
      <c r="E695" s="1">
        <v>5</v>
      </c>
      <c r="F695" s="7">
        <v>5</v>
      </c>
      <c r="G695" s="7">
        <v>5</v>
      </c>
      <c r="H695" s="7">
        <v>5</v>
      </c>
      <c r="I695" s="7">
        <v>5</v>
      </c>
      <c r="J695" s="8">
        <v>5</v>
      </c>
    </row>
    <row r="696" spans="1:10" hidden="1" x14ac:dyDescent="0.25">
      <c r="A696" s="6">
        <v>514820</v>
      </c>
      <c r="B696" s="7">
        <v>1</v>
      </c>
      <c r="C696" s="7">
        <v>906.50815566279596</v>
      </c>
      <c r="D696" s="7">
        <v>2</v>
      </c>
      <c r="E696" s="1">
        <v>5</v>
      </c>
      <c r="F696" s="7">
        <v>5</v>
      </c>
      <c r="G696" s="7">
        <v>5</v>
      </c>
      <c r="H696" s="7">
        <v>5</v>
      </c>
      <c r="I696" s="7">
        <v>5</v>
      </c>
      <c r="J696" s="8">
        <v>5</v>
      </c>
    </row>
    <row r="697" spans="1:10" hidden="1" x14ac:dyDescent="0.25">
      <c r="A697" s="6">
        <v>514859</v>
      </c>
      <c r="B697" s="7">
        <v>1</v>
      </c>
      <c r="C697" s="7">
        <v>1192.16270369074</v>
      </c>
      <c r="D697" s="7">
        <v>3</v>
      </c>
      <c r="E697" s="1">
        <v>3</v>
      </c>
      <c r="F697" s="7">
        <v>5</v>
      </c>
      <c r="G697" s="7">
        <v>5</v>
      </c>
      <c r="H697" s="7">
        <v>5</v>
      </c>
      <c r="I697" s="7">
        <v>5</v>
      </c>
      <c r="J697" s="8">
        <v>5</v>
      </c>
    </row>
    <row r="698" spans="1:10" hidden="1" x14ac:dyDescent="0.25">
      <c r="A698" s="6">
        <v>514872</v>
      </c>
      <c r="B698" s="7">
        <v>1</v>
      </c>
      <c r="C698" s="7">
        <v>676.33585849018004</v>
      </c>
      <c r="D698" s="7">
        <v>2</v>
      </c>
      <c r="E698" s="1">
        <v>3</v>
      </c>
      <c r="F698" s="7">
        <v>5</v>
      </c>
      <c r="G698" s="7">
        <v>5</v>
      </c>
      <c r="H698" s="7">
        <v>5</v>
      </c>
      <c r="I698" s="7">
        <v>5</v>
      </c>
      <c r="J698" s="8">
        <v>5</v>
      </c>
    </row>
    <row r="699" spans="1:10" hidden="1" x14ac:dyDescent="0.25">
      <c r="A699" s="6">
        <v>514997</v>
      </c>
      <c r="B699" s="7">
        <v>2</v>
      </c>
      <c r="C699" s="7">
        <v>254.371285068985</v>
      </c>
      <c r="D699" s="7">
        <v>5</v>
      </c>
      <c r="E699" s="1">
        <v>5</v>
      </c>
      <c r="F699" s="7">
        <v>5</v>
      </c>
      <c r="G699" s="7">
        <v>5</v>
      </c>
      <c r="H699" s="7">
        <v>5</v>
      </c>
      <c r="I699" s="7">
        <v>5</v>
      </c>
      <c r="J699" s="8">
        <v>5</v>
      </c>
    </row>
    <row r="700" spans="1:10" hidden="1" x14ac:dyDescent="0.25">
      <c r="A700" s="6">
        <v>515029</v>
      </c>
      <c r="B700" s="7">
        <v>2</v>
      </c>
      <c r="C700" s="7">
        <v>28.114027673149099</v>
      </c>
      <c r="D700" s="7">
        <v>5</v>
      </c>
      <c r="E700" s="1">
        <v>5</v>
      </c>
      <c r="F700" s="7">
        <v>5</v>
      </c>
      <c r="G700" s="7">
        <v>5</v>
      </c>
      <c r="H700" s="7">
        <v>5</v>
      </c>
      <c r="I700" s="7">
        <v>5</v>
      </c>
      <c r="J700" s="8">
        <v>5</v>
      </c>
    </row>
    <row r="701" spans="1:10" x14ac:dyDescent="0.25">
      <c r="A701" s="6">
        <v>515131</v>
      </c>
      <c r="B701" s="7">
        <v>2</v>
      </c>
      <c r="C701" s="7">
        <v>28.2079452674094</v>
      </c>
      <c r="D701" s="7">
        <v>8</v>
      </c>
      <c r="E701" s="1">
        <v>8</v>
      </c>
      <c r="F701" s="7">
        <v>5</v>
      </c>
      <c r="G701" s="7">
        <v>5</v>
      </c>
      <c r="H701" s="7">
        <v>5</v>
      </c>
      <c r="I701" s="7">
        <v>5</v>
      </c>
      <c r="J701" s="8">
        <v>5</v>
      </c>
    </row>
    <row r="702" spans="1:10" hidden="1" x14ac:dyDescent="0.25">
      <c r="A702" s="6">
        <v>515134</v>
      </c>
      <c r="B702" s="7">
        <v>2</v>
      </c>
      <c r="C702" s="7">
        <v>301.58373532900902</v>
      </c>
      <c r="D702" s="7">
        <v>7</v>
      </c>
      <c r="E702" s="1">
        <v>7</v>
      </c>
      <c r="F702" s="7">
        <v>5</v>
      </c>
      <c r="G702" s="7">
        <v>5</v>
      </c>
      <c r="H702" s="7">
        <v>5</v>
      </c>
      <c r="I702" s="7">
        <v>5</v>
      </c>
      <c r="J702" s="8">
        <v>5</v>
      </c>
    </row>
    <row r="703" spans="1:10" hidden="1" x14ac:dyDescent="0.25">
      <c r="A703" s="6">
        <v>515136</v>
      </c>
      <c r="B703" s="7">
        <v>2</v>
      </c>
      <c r="C703" s="7">
        <v>147.33439814235899</v>
      </c>
      <c r="D703" s="7">
        <v>7</v>
      </c>
      <c r="E703" s="1">
        <v>7</v>
      </c>
      <c r="F703" s="7">
        <v>5</v>
      </c>
      <c r="G703" s="7">
        <v>5</v>
      </c>
      <c r="H703" s="7">
        <v>5</v>
      </c>
      <c r="I703" s="7">
        <v>5</v>
      </c>
      <c r="J703" s="8">
        <v>5</v>
      </c>
    </row>
    <row r="704" spans="1:10" hidden="1" x14ac:dyDescent="0.25">
      <c r="A704" s="6">
        <v>515157</v>
      </c>
      <c r="B704" s="7">
        <v>2</v>
      </c>
      <c r="C704" s="7">
        <v>419.15427101463001</v>
      </c>
      <c r="D704" s="7">
        <v>5</v>
      </c>
      <c r="E704" s="1">
        <v>5</v>
      </c>
      <c r="F704" s="7">
        <v>5</v>
      </c>
      <c r="G704" s="7">
        <v>5</v>
      </c>
      <c r="H704" s="7">
        <v>5</v>
      </c>
      <c r="I704" s="7">
        <v>5</v>
      </c>
      <c r="J704" s="8">
        <v>5</v>
      </c>
    </row>
    <row r="705" spans="1:10" hidden="1" x14ac:dyDescent="0.25">
      <c r="A705" s="6">
        <v>515190</v>
      </c>
      <c r="B705" s="7">
        <v>2</v>
      </c>
      <c r="C705" s="7">
        <v>470.13431932781202</v>
      </c>
      <c r="D705" s="7">
        <v>7</v>
      </c>
      <c r="E705" s="1">
        <v>7</v>
      </c>
      <c r="F705" s="7">
        <v>5</v>
      </c>
      <c r="G705" s="7">
        <v>5</v>
      </c>
      <c r="H705" s="7">
        <v>5</v>
      </c>
      <c r="I705" s="7">
        <v>5</v>
      </c>
      <c r="J705" s="8">
        <v>5</v>
      </c>
    </row>
    <row r="706" spans="1:10" hidden="1" x14ac:dyDescent="0.25">
      <c r="A706" s="6">
        <v>515198</v>
      </c>
      <c r="B706" s="7">
        <v>2</v>
      </c>
      <c r="C706" s="7">
        <v>584.276954620482</v>
      </c>
      <c r="D706" s="7">
        <v>5</v>
      </c>
      <c r="E706" s="1">
        <v>5</v>
      </c>
      <c r="F706" s="7">
        <v>5</v>
      </c>
      <c r="G706" s="7">
        <v>5</v>
      </c>
      <c r="H706" s="7">
        <v>5</v>
      </c>
      <c r="I706" s="7">
        <v>5</v>
      </c>
      <c r="J706" s="8">
        <v>5</v>
      </c>
    </row>
    <row r="707" spans="1:10" x14ac:dyDescent="0.25">
      <c r="A707" s="6">
        <v>515202</v>
      </c>
      <c r="B707" s="7">
        <v>2</v>
      </c>
      <c r="C707" s="7">
        <v>444.13252235530302</v>
      </c>
      <c r="D707" s="7">
        <v>8</v>
      </c>
      <c r="E707" s="1">
        <v>8</v>
      </c>
      <c r="F707" s="7">
        <v>5</v>
      </c>
      <c r="G707" s="7">
        <v>5</v>
      </c>
      <c r="H707" s="7">
        <v>5</v>
      </c>
      <c r="I707" s="7">
        <v>5</v>
      </c>
      <c r="J707" s="8">
        <v>5</v>
      </c>
    </row>
    <row r="708" spans="1:10" hidden="1" x14ac:dyDescent="0.25">
      <c r="A708" s="6">
        <v>515230</v>
      </c>
      <c r="B708" s="7">
        <v>2</v>
      </c>
      <c r="C708" s="7">
        <v>529.59479039122095</v>
      </c>
      <c r="D708" s="7">
        <v>7</v>
      </c>
      <c r="E708" s="1">
        <v>7</v>
      </c>
      <c r="F708" s="7">
        <v>5</v>
      </c>
      <c r="G708" s="7">
        <v>5</v>
      </c>
      <c r="H708" s="7">
        <v>5</v>
      </c>
      <c r="I708" s="7">
        <v>5</v>
      </c>
      <c r="J708" s="8">
        <v>5</v>
      </c>
    </row>
    <row r="709" spans="1:10" hidden="1" x14ac:dyDescent="0.25">
      <c r="A709" s="6">
        <v>515317</v>
      </c>
      <c r="B709" s="7">
        <v>1</v>
      </c>
      <c r="C709" s="7">
        <v>1214.88995999742</v>
      </c>
      <c r="D709" s="7">
        <v>2</v>
      </c>
      <c r="E709" s="1">
        <v>4</v>
      </c>
      <c r="F709" s="7">
        <v>5</v>
      </c>
      <c r="G709" s="7">
        <v>5</v>
      </c>
      <c r="H709" s="7">
        <v>5</v>
      </c>
      <c r="I709" s="7">
        <v>5</v>
      </c>
      <c r="J709" s="8">
        <v>5</v>
      </c>
    </row>
    <row r="710" spans="1:10" hidden="1" x14ac:dyDescent="0.25">
      <c r="A710" s="6">
        <v>515328</v>
      </c>
      <c r="B710" s="7">
        <v>1</v>
      </c>
      <c r="C710" s="7">
        <v>1440.10046398602</v>
      </c>
      <c r="D710" s="7">
        <v>2</v>
      </c>
      <c r="E710" s="1">
        <v>7</v>
      </c>
      <c r="F710" s="7">
        <v>5</v>
      </c>
      <c r="G710" s="7">
        <v>5</v>
      </c>
      <c r="H710" s="7">
        <v>5</v>
      </c>
      <c r="I710" s="7">
        <v>5</v>
      </c>
      <c r="J710" s="8">
        <v>5</v>
      </c>
    </row>
    <row r="711" spans="1:10" hidden="1" x14ac:dyDescent="0.25">
      <c r="A711" s="6">
        <v>515413</v>
      </c>
      <c r="B711" s="7">
        <v>1</v>
      </c>
      <c r="C711" s="7">
        <v>527.01324612905796</v>
      </c>
      <c r="D711" s="7">
        <v>5</v>
      </c>
      <c r="E711" s="1">
        <v>5</v>
      </c>
      <c r="F711" s="7">
        <v>5</v>
      </c>
      <c r="G711" s="7">
        <v>5</v>
      </c>
      <c r="H711" s="7">
        <v>5</v>
      </c>
      <c r="I711" s="7">
        <v>5</v>
      </c>
      <c r="J711" s="8">
        <v>5</v>
      </c>
    </row>
    <row r="712" spans="1:10" hidden="1" x14ac:dyDescent="0.25">
      <c r="A712" s="6">
        <v>515573</v>
      </c>
      <c r="B712" s="7">
        <v>2</v>
      </c>
      <c r="C712" s="7">
        <v>335.43278581112702</v>
      </c>
      <c r="D712" s="7">
        <v>7</v>
      </c>
      <c r="E712" s="1">
        <v>7</v>
      </c>
      <c r="F712" s="7">
        <v>5</v>
      </c>
      <c r="G712" s="7">
        <v>5</v>
      </c>
      <c r="H712" s="7">
        <v>5</v>
      </c>
      <c r="I712" s="7">
        <v>5</v>
      </c>
      <c r="J712" s="8">
        <v>5</v>
      </c>
    </row>
    <row r="713" spans="1:10" hidden="1" x14ac:dyDescent="0.25">
      <c r="A713" s="6">
        <v>515623</v>
      </c>
      <c r="B713" s="7">
        <v>1</v>
      </c>
      <c r="C713" s="7">
        <v>548.37216348051902</v>
      </c>
      <c r="D713" s="7">
        <v>2</v>
      </c>
      <c r="E713" s="1">
        <v>5</v>
      </c>
      <c r="F713" s="7">
        <v>5</v>
      </c>
      <c r="G713" s="7">
        <v>5</v>
      </c>
      <c r="H713" s="7">
        <v>5</v>
      </c>
      <c r="I713" s="7">
        <v>5</v>
      </c>
      <c r="J713" s="8">
        <v>5</v>
      </c>
    </row>
    <row r="714" spans="1:10" hidden="1" x14ac:dyDescent="0.25">
      <c r="A714" s="6">
        <v>515732</v>
      </c>
      <c r="B714" s="7">
        <v>2</v>
      </c>
      <c r="C714" s="7">
        <v>555.61114122700906</v>
      </c>
      <c r="D714" s="7">
        <v>7</v>
      </c>
      <c r="E714" s="1">
        <v>7</v>
      </c>
      <c r="F714" s="7">
        <v>5</v>
      </c>
      <c r="G714" s="7">
        <v>5</v>
      </c>
      <c r="H714" s="7">
        <v>5</v>
      </c>
      <c r="I714" s="7">
        <v>5</v>
      </c>
      <c r="J714" s="8">
        <v>5</v>
      </c>
    </row>
    <row r="715" spans="1:10" hidden="1" x14ac:dyDescent="0.25">
      <c r="A715" s="6">
        <v>515827</v>
      </c>
      <c r="B715" s="7">
        <v>2</v>
      </c>
      <c r="C715" s="7">
        <v>470.57976489574497</v>
      </c>
      <c r="D715" s="7">
        <v>7</v>
      </c>
      <c r="E715" s="1">
        <v>7</v>
      </c>
      <c r="F715" s="7">
        <v>5</v>
      </c>
      <c r="G715" s="7">
        <v>5</v>
      </c>
      <c r="H715" s="7">
        <v>5</v>
      </c>
      <c r="I715" s="7">
        <v>5</v>
      </c>
      <c r="J715" s="8">
        <v>5</v>
      </c>
    </row>
    <row r="716" spans="1:10" hidden="1" x14ac:dyDescent="0.25">
      <c r="A716" s="6">
        <v>515845</v>
      </c>
      <c r="B716" s="7">
        <v>2</v>
      </c>
      <c r="C716" s="7">
        <v>229.32361335217001</v>
      </c>
      <c r="D716" s="7">
        <v>5</v>
      </c>
      <c r="E716" s="1">
        <v>5</v>
      </c>
      <c r="F716" s="7">
        <v>5</v>
      </c>
      <c r="G716" s="7">
        <v>5</v>
      </c>
      <c r="H716" s="7">
        <v>5</v>
      </c>
      <c r="I716" s="7">
        <v>5</v>
      </c>
      <c r="J716" s="8">
        <v>5</v>
      </c>
    </row>
    <row r="717" spans="1:10" hidden="1" x14ac:dyDescent="0.25">
      <c r="A717" s="6">
        <v>516039</v>
      </c>
      <c r="B717" s="7">
        <v>2</v>
      </c>
      <c r="C717" s="7">
        <v>766.31159554361102</v>
      </c>
      <c r="D717" s="7">
        <v>7</v>
      </c>
      <c r="E717" s="1">
        <v>7</v>
      </c>
      <c r="F717" s="7">
        <v>5</v>
      </c>
      <c r="G717" s="7">
        <v>5</v>
      </c>
      <c r="H717" s="7">
        <v>5</v>
      </c>
      <c r="I717" s="7">
        <v>5</v>
      </c>
      <c r="J717" s="8">
        <v>5</v>
      </c>
    </row>
    <row r="718" spans="1:10" hidden="1" x14ac:dyDescent="0.25">
      <c r="A718" s="6">
        <v>516040</v>
      </c>
      <c r="B718" s="7">
        <v>1</v>
      </c>
      <c r="C718" s="7">
        <v>236.67820582853599</v>
      </c>
      <c r="D718" s="7">
        <v>7</v>
      </c>
      <c r="E718" s="1">
        <v>7</v>
      </c>
      <c r="F718" s="7">
        <v>5</v>
      </c>
      <c r="G718" s="7">
        <v>5</v>
      </c>
      <c r="H718" s="7">
        <v>5</v>
      </c>
      <c r="I718" s="7">
        <v>5</v>
      </c>
      <c r="J718" s="8">
        <v>5</v>
      </c>
    </row>
    <row r="719" spans="1:10" hidden="1" x14ac:dyDescent="0.25">
      <c r="A719" s="6">
        <v>516115</v>
      </c>
      <c r="B719" s="7">
        <v>1</v>
      </c>
      <c r="C719" s="7">
        <v>527.03251616710895</v>
      </c>
      <c r="D719" s="7">
        <v>5</v>
      </c>
      <c r="E719" s="1">
        <v>5</v>
      </c>
      <c r="F719" s="7">
        <v>5</v>
      </c>
      <c r="G719" s="7">
        <v>5</v>
      </c>
      <c r="H719" s="7">
        <v>5</v>
      </c>
      <c r="I719" s="7">
        <v>5</v>
      </c>
      <c r="J719" s="8">
        <v>5</v>
      </c>
    </row>
    <row r="720" spans="1:10" hidden="1" x14ac:dyDescent="0.25">
      <c r="A720" s="6">
        <v>516181</v>
      </c>
      <c r="B720" s="7">
        <v>1</v>
      </c>
      <c r="C720" s="7">
        <v>957.88710760736501</v>
      </c>
      <c r="D720" s="7">
        <v>2</v>
      </c>
      <c r="E720" s="1">
        <v>7</v>
      </c>
      <c r="F720" s="7">
        <v>5</v>
      </c>
      <c r="G720" s="7">
        <v>5</v>
      </c>
      <c r="H720" s="7">
        <v>5</v>
      </c>
      <c r="I720" s="7">
        <v>5</v>
      </c>
      <c r="J720" s="8">
        <v>5</v>
      </c>
    </row>
    <row r="721" spans="1:10" hidden="1" x14ac:dyDescent="0.25">
      <c r="A721" s="6">
        <v>516188</v>
      </c>
      <c r="B721" s="7">
        <v>2</v>
      </c>
      <c r="C721" s="7">
        <v>417.62675417712302</v>
      </c>
      <c r="D721" s="7">
        <v>5</v>
      </c>
      <c r="E721" s="1">
        <v>4</v>
      </c>
      <c r="F721" s="7">
        <v>5</v>
      </c>
      <c r="G721" s="7">
        <v>5</v>
      </c>
      <c r="H721" s="7">
        <v>5</v>
      </c>
      <c r="I721" s="7">
        <v>5</v>
      </c>
      <c r="J721" s="8">
        <v>5</v>
      </c>
    </row>
    <row r="722" spans="1:10" x14ac:dyDescent="0.25">
      <c r="A722" s="6">
        <v>516191</v>
      </c>
      <c r="B722" s="7">
        <v>1</v>
      </c>
      <c r="C722" s="7">
        <v>745.18757508960095</v>
      </c>
      <c r="D722" s="7">
        <v>8</v>
      </c>
      <c r="E722" s="1">
        <v>8</v>
      </c>
      <c r="F722" s="7">
        <v>5</v>
      </c>
      <c r="G722" s="7">
        <v>5</v>
      </c>
      <c r="H722" s="7">
        <v>5</v>
      </c>
      <c r="I722" s="7">
        <v>5</v>
      </c>
      <c r="J722" s="8">
        <v>5</v>
      </c>
    </row>
    <row r="723" spans="1:10" hidden="1" x14ac:dyDescent="0.25">
      <c r="A723" s="6">
        <v>516259</v>
      </c>
      <c r="B723" s="7">
        <v>1</v>
      </c>
      <c r="C723" s="7">
        <v>878.17652916881104</v>
      </c>
      <c r="D723" s="7">
        <v>5</v>
      </c>
      <c r="E723" s="1">
        <v>5</v>
      </c>
      <c r="F723" s="7">
        <v>5</v>
      </c>
      <c r="G723" s="7">
        <v>5</v>
      </c>
      <c r="H723" s="7">
        <v>5</v>
      </c>
      <c r="I723" s="7">
        <v>5</v>
      </c>
      <c r="J723" s="8">
        <v>5</v>
      </c>
    </row>
    <row r="724" spans="1:10" hidden="1" x14ac:dyDescent="0.25">
      <c r="A724" s="6">
        <v>516306</v>
      </c>
      <c r="B724" s="7">
        <v>1</v>
      </c>
      <c r="C724" s="7">
        <v>471.34087985437901</v>
      </c>
      <c r="D724" s="7">
        <v>2</v>
      </c>
      <c r="E724" s="1">
        <v>7</v>
      </c>
      <c r="F724" s="7">
        <v>5</v>
      </c>
      <c r="G724" s="7">
        <v>5</v>
      </c>
      <c r="H724" s="7">
        <v>5</v>
      </c>
      <c r="I724" s="7">
        <v>5</v>
      </c>
      <c r="J724" s="8">
        <v>5</v>
      </c>
    </row>
    <row r="725" spans="1:10" hidden="1" x14ac:dyDescent="0.25">
      <c r="A725" s="6">
        <v>516315</v>
      </c>
      <c r="B725" s="7">
        <v>1</v>
      </c>
      <c r="C725" s="7">
        <v>1130.65057855803</v>
      </c>
      <c r="D725" s="7">
        <v>7</v>
      </c>
      <c r="E725" s="1">
        <v>5</v>
      </c>
      <c r="F725" s="7">
        <v>5</v>
      </c>
      <c r="G725" s="7">
        <v>5</v>
      </c>
      <c r="H725" s="7">
        <v>5</v>
      </c>
      <c r="I725" s="7">
        <v>5</v>
      </c>
      <c r="J725" s="8">
        <v>5</v>
      </c>
    </row>
    <row r="726" spans="1:10" hidden="1" x14ac:dyDescent="0.25">
      <c r="A726" s="6">
        <v>516391</v>
      </c>
      <c r="B726" s="7">
        <v>1</v>
      </c>
      <c r="C726" s="7">
        <v>1987.6184549878601</v>
      </c>
      <c r="D726" s="7">
        <v>2</v>
      </c>
      <c r="E726" s="1">
        <v>4</v>
      </c>
      <c r="F726" s="7">
        <v>5</v>
      </c>
      <c r="G726" s="7">
        <v>5</v>
      </c>
      <c r="H726" s="7">
        <v>5</v>
      </c>
      <c r="I726" s="7">
        <v>5</v>
      </c>
      <c r="J726" s="8">
        <v>5</v>
      </c>
    </row>
    <row r="727" spans="1:10" hidden="1" x14ac:dyDescent="0.25">
      <c r="A727" s="6">
        <v>516424</v>
      </c>
      <c r="B727" s="7">
        <v>1</v>
      </c>
      <c r="C727" s="7">
        <v>631.73879658915905</v>
      </c>
      <c r="D727" s="7">
        <v>5</v>
      </c>
      <c r="E727" s="1">
        <v>5</v>
      </c>
      <c r="F727" s="7">
        <v>5</v>
      </c>
      <c r="G727" s="7">
        <v>5</v>
      </c>
      <c r="H727" s="7">
        <v>5</v>
      </c>
      <c r="I727" s="7">
        <v>5</v>
      </c>
      <c r="J727" s="8">
        <v>5</v>
      </c>
    </row>
    <row r="728" spans="1:10" hidden="1" x14ac:dyDescent="0.25">
      <c r="A728" s="6">
        <v>516443</v>
      </c>
      <c r="B728" s="7">
        <v>2</v>
      </c>
      <c r="C728" s="7">
        <v>1153.15314838021</v>
      </c>
      <c r="D728" s="7">
        <v>7</v>
      </c>
      <c r="E728" s="1">
        <v>7</v>
      </c>
      <c r="F728" s="7">
        <v>5</v>
      </c>
      <c r="G728" s="7">
        <v>5</v>
      </c>
      <c r="H728" s="7">
        <v>5</v>
      </c>
      <c r="I728" s="7">
        <v>5</v>
      </c>
      <c r="J728" s="8">
        <v>5</v>
      </c>
    </row>
    <row r="729" spans="1:10" hidden="1" x14ac:dyDescent="0.25">
      <c r="A729" s="6">
        <v>516444</v>
      </c>
      <c r="B729" s="7">
        <v>1</v>
      </c>
      <c r="C729" s="7">
        <v>1074.77386591103</v>
      </c>
      <c r="D729" s="7">
        <v>4</v>
      </c>
      <c r="E729" s="1">
        <v>4</v>
      </c>
      <c r="F729" s="7">
        <v>5</v>
      </c>
      <c r="G729" s="7">
        <v>5</v>
      </c>
      <c r="H729" s="7">
        <v>5</v>
      </c>
      <c r="I729" s="7">
        <v>5</v>
      </c>
      <c r="J729" s="8">
        <v>5</v>
      </c>
    </row>
    <row r="730" spans="1:10" hidden="1" x14ac:dyDescent="0.25">
      <c r="A730" s="6">
        <v>516447</v>
      </c>
      <c r="B730" s="7">
        <v>1</v>
      </c>
      <c r="C730" s="7">
        <v>693.32812963231402</v>
      </c>
      <c r="D730" s="7">
        <v>5</v>
      </c>
      <c r="E730" s="1">
        <v>5</v>
      </c>
      <c r="F730" s="7">
        <v>5</v>
      </c>
      <c r="G730" s="7">
        <v>5</v>
      </c>
      <c r="H730" s="7">
        <v>5</v>
      </c>
      <c r="I730" s="7">
        <v>5</v>
      </c>
      <c r="J730" s="8">
        <v>5</v>
      </c>
    </row>
    <row r="731" spans="1:10" hidden="1" x14ac:dyDescent="0.25">
      <c r="A731" s="6">
        <v>516469</v>
      </c>
      <c r="B731" s="7">
        <v>2</v>
      </c>
      <c r="C731" s="7">
        <v>418.96966335136102</v>
      </c>
      <c r="D731" s="7">
        <v>7</v>
      </c>
      <c r="E731" s="1">
        <v>8</v>
      </c>
      <c r="F731" s="7">
        <v>1</v>
      </c>
      <c r="G731" s="7">
        <v>5</v>
      </c>
      <c r="H731" s="7">
        <v>5</v>
      </c>
      <c r="I731" s="7">
        <v>5</v>
      </c>
      <c r="J731" s="8">
        <v>5</v>
      </c>
    </row>
    <row r="732" spans="1:10" hidden="1" x14ac:dyDescent="0.25">
      <c r="A732" s="6">
        <v>516470</v>
      </c>
      <c r="B732" s="7">
        <v>1</v>
      </c>
      <c r="C732" s="7">
        <v>1061.6755892763999</v>
      </c>
      <c r="D732" s="7">
        <v>4</v>
      </c>
      <c r="E732" s="1">
        <v>4</v>
      </c>
      <c r="F732" s="7">
        <v>5</v>
      </c>
      <c r="G732" s="7">
        <v>5</v>
      </c>
      <c r="H732" s="7">
        <v>5</v>
      </c>
      <c r="I732" s="7">
        <v>5</v>
      </c>
      <c r="J732" s="8">
        <v>5</v>
      </c>
    </row>
    <row r="733" spans="1:10" x14ac:dyDescent="0.25">
      <c r="A733" s="6">
        <v>516472</v>
      </c>
      <c r="B733" s="7">
        <v>2</v>
      </c>
      <c r="C733" s="7">
        <v>359.11298900631903</v>
      </c>
      <c r="D733" s="7">
        <v>6</v>
      </c>
      <c r="E733" s="1">
        <v>7</v>
      </c>
      <c r="F733" s="7">
        <v>5</v>
      </c>
      <c r="G733" s="7">
        <v>5</v>
      </c>
      <c r="H733" s="7">
        <v>5</v>
      </c>
      <c r="I733" s="7">
        <v>5</v>
      </c>
      <c r="J733" s="8">
        <v>5</v>
      </c>
    </row>
    <row r="734" spans="1:10" hidden="1" x14ac:dyDescent="0.25">
      <c r="A734" s="6">
        <v>516489</v>
      </c>
      <c r="B734" s="7">
        <v>2</v>
      </c>
      <c r="C734" s="7">
        <v>875.46736027033705</v>
      </c>
      <c r="D734" s="7">
        <v>1</v>
      </c>
      <c r="E734" s="1">
        <v>9</v>
      </c>
      <c r="F734" s="7">
        <v>5</v>
      </c>
      <c r="G734" s="7">
        <v>5</v>
      </c>
      <c r="H734" s="7">
        <v>5</v>
      </c>
      <c r="I734" s="7">
        <v>5</v>
      </c>
      <c r="J734" s="8">
        <v>5</v>
      </c>
    </row>
    <row r="735" spans="1:10" x14ac:dyDescent="0.25">
      <c r="A735" s="6">
        <v>516513</v>
      </c>
      <c r="B735" s="7">
        <v>2</v>
      </c>
      <c r="C735" s="7">
        <v>624.82721240334797</v>
      </c>
      <c r="D735" s="7">
        <v>9</v>
      </c>
      <c r="E735" s="1">
        <v>9</v>
      </c>
      <c r="F735" s="7">
        <v>5</v>
      </c>
      <c r="G735" s="7">
        <v>5</v>
      </c>
      <c r="H735" s="7">
        <v>5</v>
      </c>
      <c r="I735" s="7">
        <v>5</v>
      </c>
      <c r="J735" s="8">
        <v>5</v>
      </c>
    </row>
    <row r="736" spans="1:10" hidden="1" x14ac:dyDescent="0.25">
      <c r="A736" s="6">
        <v>516535</v>
      </c>
      <c r="B736" s="7">
        <v>1</v>
      </c>
      <c r="C736" s="7">
        <v>1054.5632933141001</v>
      </c>
      <c r="D736" s="7">
        <v>3</v>
      </c>
      <c r="E736" s="1">
        <v>3</v>
      </c>
      <c r="F736" s="7">
        <v>5</v>
      </c>
      <c r="G736" s="7">
        <v>5</v>
      </c>
      <c r="H736" s="7">
        <v>5</v>
      </c>
      <c r="I736" s="7">
        <v>5</v>
      </c>
      <c r="J736" s="8">
        <v>5</v>
      </c>
    </row>
    <row r="737" spans="1:10" hidden="1" x14ac:dyDescent="0.25">
      <c r="A737" s="6">
        <v>516544</v>
      </c>
      <c r="B737" s="7">
        <v>2</v>
      </c>
      <c r="C737" s="7">
        <v>1117.28376234181</v>
      </c>
      <c r="D737" s="7">
        <v>7</v>
      </c>
      <c r="E737" s="1">
        <v>7</v>
      </c>
      <c r="F737" s="7">
        <v>5</v>
      </c>
      <c r="G737" s="7">
        <v>5</v>
      </c>
      <c r="H737" s="7">
        <v>5</v>
      </c>
      <c r="I737" s="7">
        <v>5</v>
      </c>
      <c r="J737" s="8">
        <v>5</v>
      </c>
    </row>
    <row r="738" spans="1:10" x14ac:dyDescent="0.25">
      <c r="A738" s="6">
        <v>516577</v>
      </c>
      <c r="B738" s="7">
        <v>2</v>
      </c>
      <c r="C738" s="7">
        <v>1582.39533488232</v>
      </c>
      <c r="D738" s="7">
        <v>8</v>
      </c>
      <c r="E738" s="1">
        <v>8</v>
      </c>
      <c r="F738" s="7">
        <v>5</v>
      </c>
      <c r="G738" s="7">
        <v>5</v>
      </c>
      <c r="H738" s="7">
        <v>5</v>
      </c>
      <c r="I738" s="7">
        <v>5</v>
      </c>
      <c r="J738" s="8">
        <v>5</v>
      </c>
    </row>
    <row r="739" spans="1:10" hidden="1" x14ac:dyDescent="0.25">
      <c r="A739" s="6">
        <v>516588</v>
      </c>
      <c r="B739" s="7">
        <v>2</v>
      </c>
      <c r="C739" s="7">
        <v>333.05427363857098</v>
      </c>
      <c r="D739" s="7">
        <v>7</v>
      </c>
      <c r="E739" s="1">
        <v>7</v>
      </c>
      <c r="F739" s="7">
        <v>5</v>
      </c>
      <c r="G739" s="7">
        <v>5</v>
      </c>
      <c r="H739" s="7">
        <v>5</v>
      </c>
      <c r="I739" s="7">
        <v>5</v>
      </c>
      <c r="J739" s="8">
        <v>5</v>
      </c>
    </row>
    <row r="740" spans="1:10" hidden="1" x14ac:dyDescent="0.25">
      <c r="A740" s="6">
        <v>516596</v>
      </c>
      <c r="B740" s="7">
        <v>1</v>
      </c>
      <c r="C740" s="7">
        <v>644.64177435433896</v>
      </c>
      <c r="D740" s="7">
        <v>5</v>
      </c>
      <c r="E740" s="1">
        <v>5</v>
      </c>
      <c r="F740" s="7">
        <v>5</v>
      </c>
      <c r="G740" s="7">
        <v>5</v>
      </c>
      <c r="H740" s="7">
        <v>5</v>
      </c>
      <c r="I740" s="7">
        <v>5</v>
      </c>
      <c r="J740" s="8">
        <v>5</v>
      </c>
    </row>
    <row r="741" spans="1:10" x14ac:dyDescent="0.25">
      <c r="A741" s="6">
        <v>516620</v>
      </c>
      <c r="B741" s="7">
        <v>2</v>
      </c>
      <c r="C741" s="7">
        <v>654.41795121245605</v>
      </c>
      <c r="D741" s="7">
        <v>6</v>
      </c>
      <c r="E741" s="1">
        <v>5</v>
      </c>
      <c r="F741" s="7">
        <v>5</v>
      </c>
      <c r="G741" s="7">
        <v>5</v>
      </c>
      <c r="H741" s="7">
        <v>5</v>
      </c>
      <c r="I741" s="7">
        <v>5</v>
      </c>
      <c r="J741" s="8">
        <v>5</v>
      </c>
    </row>
    <row r="742" spans="1:10" hidden="1" x14ac:dyDescent="0.25">
      <c r="A742" s="6">
        <v>516642</v>
      </c>
      <c r="B742" s="7">
        <v>1</v>
      </c>
      <c r="C742" s="7">
        <v>441.59306454833302</v>
      </c>
      <c r="D742" s="7">
        <v>2</v>
      </c>
      <c r="E742" s="1">
        <v>5</v>
      </c>
      <c r="F742" s="7">
        <v>5</v>
      </c>
      <c r="G742" s="7">
        <v>5</v>
      </c>
      <c r="H742" s="7">
        <v>5</v>
      </c>
      <c r="I742" s="7">
        <v>5</v>
      </c>
      <c r="J742" s="8">
        <v>5</v>
      </c>
    </row>
    <row r="743" spans="1:10" hidden="1" x14ac:dyDescent="0.25">
      <c r="A743" s="6">
        <v>516668</v>
      </c>
      <c r="B743" s="7">
        <v>1</v>
      </c>
      <c r="C743" s="7">
        <v>459.73821153829402</v>
      </c>
      <c r="D743" s="7">
        <v>1</v>
      </c>
      <c r="E743" s="1">
        <v>5</v>
      </c>
      <c r="F743" s="7">
        <v>5</v>
      </c>
      <c r="G743" s="7">
        <v>5</v>
      </c>
      <c r="H743" s="7">
        <v>5</v>
      </c>
      <c r="I743" s="7">
        <v>5</v>
      </c>
      <c r="J743" s="8">
        <v>5</v>
      </c>
    </row>
    <row r="744" spans="1:10" hidden="1" x14ac:dyDescent="0.25">
      <c r="A744" s="6">
        <v>516691</v>
      </c>
      <c r="B744" s="7">
        <v>1</v>
      </c>
      <c r="C744" s="7">
        <v>569.67938841711305</v>
      </c>
      <c r="D744" s="7">
        <v>5</v>
      </c>
      <c r="E744" s="1">
        <v>5</v>
      </c>
      <c r="F744" s="7">
        <v>5</v>
      </c>
      <c r="G744" s="7">
        <v>5</v>
      </c>
      <c r="H744" s="7">
        <v>5</v>
      </c>
      <c r="I744" s="7">
        <v>5</v>
      </c>
      <c r="J744" s="8">
        <v>5</v>
      </c>
    </row>
    <row r="745" spans="1:10" hidden="1" x14ac:dyDescent="0.25">
      <c r="A745" s="6">
        <v>516711</v>
      </c>
      <c r="B745" s="7">
        <v>1</v>
      </c>
      <c r="C745" s="7">
        <v>322.62083304921401</v>
      </c>
      <c r="D745" s="7">
        <v>7</v>
      </c>
      <c r="E745" s="1">
        <v>7</v>
      </c>
      <c r="F745" s="7">
        <v>5</v>
      </c>
      <c r="G745" s="7">
        <v>5</v>
      </c>
      <c r="H745" s="7">
        <v>5</v>
      </c>
      <c r="I745" s="7">
        <v>5</v>
      </c>
      <c r="J745" s="8">
        <v>5</v>
      </c>
    </row>
    <row r="746" spans="1:10" hidden="1" x14ac:dyDescent="0.25">
      <c r="A746" s="6">
        <v>516739</v>
      </c>
      <c r="B746" s="7">
        <v>1</v>
      </c>
      <c r="C746" s="7">
        <v>854.71756107760496</v>
      </c>
      <c r="D746" s="7">
        <v>3</v>
      </c>
      <c r="E746" s="1">
        <v>3</v>
      </c>
      <c r="F746" s="7">
        <v>5</v>
      </c>
      <c r="G746" s="7">
        <v>5</v>
      </c>
      <c r="H746" s="7">
        <v>5</v>
      </c>
      <c r="I746" s="7">
        <v>5</v>
      </c>
      <c r="J746" s="8">
        <v>5</v>
      </c>
    </row>
    <row r="747" spans="1:10" hidden="1" x14ac:dyDescent="0.25">
      <c r="A747" s="6">
        <v>516749</v>
      </c>
      <c r="B747" s="7">
        <v>2</v>
      </c>
      <c r="C747" s="7">
        <v>289.70449952955602</v>
      </c>
      <c r="D747" s="7">
        <v>7</v>
      </c>
      <c r="E747" s="1">
        <v>7</v>
      </c>
      <c r="F747" s="7">
        <v>5</v>
      </c>
      <c r="G747" s="7">
        <v>5</v>
      </c>
      <c r="H747" s="7">
        <v>5</v>
      </c>
      <c r="I747" s="7">
        <v>5</v>
      </c>
      <c r="J747" s="8">
        <v>5</v>
      </c>
    </row>
    <row r="748" spans="1:10" hidden="1" x14ac:dyDescent="0.25">
      <c r="A748" s="6">
        <v>516750</v>
      </c>
      <c r="B748" s="7">
        <v>1</v>
      </c>
      <c r="C748" s="7">
        <v>143.890566400544</v>
      </c>
      <c r="D748" s="7">
        <v>2</v>
      </c>
      <c r="E748" s="1">
        <v>7</v>
      </c>
      <c r="F748" s="7">
        <v>5</v>
      </c>
      <c r="G748" s="7">
        <v>5</v>
      </c>
      <c r="H748" s="7">
        <v>5</v>
      </c>
      <c r="I748" s="7">
        <v>5</v>
      </c>
      <c r="J748" s="8">
        <v>5</v>
      </c>
    </row>
    <row r="749" spans="1:10" hidden="1" x14ac:dyDescent="0.25">
      <c r="A749" s="6">
        <v>516764</v>
      </c>
      <c r="B749" s="7">
        <v>1</v>
      </c>
      <c r="C749" s="7">
        <v>273.71677012094102</v>
      </c>
      <c r="D749" s="7">
        <v>2</v>
      </c>
      <c r="E749" s="1">
        <v>2</v>
      </c>
      <c r="F749" s="7">
        <v>5</v>
      </c>
      <c r="G749" s="7">
        <v>5</v>
      </c>
      <c r="H749" s="7">
        <v>5</v>
      </c>
      <c r="I749" s="7">
        <v>5</v>
      </c>
      <c r="J749" s="8">
        <v>5</v>
      </c>
    </row>
    <row r="750" spans="1:10" x14ac:dyDescent="0.25">
      <c r="A750" s="6">
        <v>516777</v>
      </c>
      <c r="B750" s="7">
        <v>2</v>
      </c>
      <c r="C750" s="7">
        <v>311.05881469697601</v>
      </c>
      <c r="D750" s="7">
        <v>8</v>
      </c>
      <c r="E750" s="1">
        <v>8</v>
      </c>
      <c r="F750" s="7">
        <v>5</v>
      </c>
      <c r="G750" s="7">
        <v>5</v>
      </c>
      <c r="H750" s="7">
        <v>5</v>
      </c>
      <c r="I750" s="7">
        <v>5</v>
      </c>
      <c r="J750" s="8">
        <v>5</v>
      </c>
    </row>
    <row r="751" spans="1:10" hidden="1" x14ac:dyDescent="0.25">
      <c r="A751" s="6">
        <v>516784</v>
      </c>
      <c r="B751" s="7">
        <v>2</v>
      </c>
      <c r="C751" s="7">
        <v>1173.9266013595</v>
      </c>
      <c r="D751" s="7">
        <v>7</v>
      </c>
      <c r="E751" s="1">
        <v>7</v>
      </c>
      <c r="F751" s="7">
        <v>5</v>
      </c>
      <c r="G751" s="7">
        <v>5</v>
      </c>
      <c r="H751" s="7">
        <v>5</v>
      </c>
      <c r="I751" s="7">
        <v>5</v>
      </c>
      <c r="J751" s="8">
        <v>5</v>
      </c>
    </row>
    <row r="752" spans="1:10" hidden="1" x14ac:dyDescent="0.25">
      <c r="A752" s="6">
        <v>516805</v>
      </c>
      <c r="B752" s="7">
        <v>2</v>
      </c>
      <c r="C752" s="7">
        <v>485.19231343075501</v>
      </c>
      <c r="D752" s="7">
        <v>7</v>
      </c>
      <c r="E752" s="1">
        <v>7</v>
      </c>
      <c r="F752" s="7">
        <v>5</v>
      </c>
      <c r="G752" s="7">
        <v>5</v>
      </c>
      <c r="H752" s="7">
        <v>5</v>
      </c>
      <c r="I752" s="7">
        <v>5</v>
      </c>
      <c r="J752" s="8">
        <v>5</v>
      </c>
    </row>
    <row r="753" spans="1:10" hidden="1" x14ac:dyDescent="0.25">
      <c r="A753" s="6">
        <v>516812</v>
      </c>
      <c r="B753" s="7">
        <v>1</v>
      </c>
      <c r="C753" s="7">
        <v>858.92127649936594</v>
      </c>
      <c r="D753" s="7">
        <v>4</v>
      </c>
      <c r="E753" s="1">
        <v>4</v>
      </c>
      <c r="F753" s="7">
        <v>5</v>
      </c>
      <c r="G753" s="7">
        <v>5</v>
      </c>
      <c r="H753" s="7">
        <v>5</v>
      </c>
      <c r="I753" s="7">
        <v>5</v>
      </c>
      <c r="J753" s="8">
        <v>5</v>
      </c>
    </row>
    <row r="754" spans="1:10" hidden="1" x14ac:dyDescent="0.25">
      <c r="A754" s="6">
        <v>516815</v>
      </c>
      <c r="B754" s="7">
        <v>2</v>
      </c>
      <c r="C754" s="7">
        <v>185.084126336341</v>
      </c>
      <c r="D754" s="7">
        <v>5</v>
      </c>
      <c r="E754" s="1">
        <v>5</v>
      </c>
      <c r="F754" s="7">
        <v>5</v>
      </c>
      <c r="G754" s="7">
        <v>5</v>
      </c>
      <c r="H754" s="7">
        <v>5</v>
      </c>
      <c r="I754" s="7">
        <v>5</v>
      </c>
      <c r="J754" s="8">
        <v>5</v>
      </c>
    </row>
    <row r="755" spans="1:10" x14ac:dyDescent="0.25">
      <c r="A755" s="6">
        <v>516820</v>
      </c>
      <c r="B755" s="7">
        <v>1</v>
      </c>
      <c r="C755" s="7">
        <v>764.05917906486297</v>
      </c>
      <c r="D755" s="7">
        <v>9</v>
      </c>
      <c r="E755" s="1">
        <v>6</v>
      </c>
      <c r="F755" s="7">
        <v>5</v>
      </c>
      <c r="G755" s="7">
        <v>5</v>
      </c>
      <c r="H755" s="7">
        <v>5</v>
      </c>
      <c r="I755" s="7">
        <v>5</v>
      </c>
      <c r="J755" s="8">
        <v>5</v>
      </c>
    </row>
    <row r="756" spans="1:10" hidden="1" x14ac:dyDescent="0.25">
      <c r="A756" s="6">
        <v>516838</v>
      </c>
      <c r="B756" s="7">
        <v>2</v>
      </c>
      <c r="C756" s="7">
        <v>200.773939771008</v>
      </c>
      <c r="D756" s="7">
        <v>7</v>
      </c>
      <c r="E756" s="1">
        <v>7</v>
      </c>
      <c r="F756" s="7">
        <v>5</v>
      </c>
      <c r="G756" s="7">
        <v>5</v>
      </c>
      <c r="H756" s="7">
        <v>5</v>
      </c>
      <c r="I756" s="7">
        <v>5</v>
      </c>
      <c r="J756" s="8">
        <v>5</v>
      </c>
    </row>
    <row r="757" spans="1:10" hidden="1" x14ac:dyDescent="0.25">
      <c r="A757" s="6">
        <v>516845</v>
      </c>
      <c r="B757" s="7">
        <v>2</v>
      </c>
      <c r="C757" s="7">
        <v>253.206249099953</v>
      </c>
      <c r="D757" s="7">
        <v>5</v>
      </c>
      <c r="E757" s="1">
        <v>5</v>
      </c>
      <c r="F757" s="7">
        <v>5</v>
      </c>
      <c r="G757" s="7">
        <v>5</v>
      </c>
      <c r="H757" s="7">
        <v>5</v>
      </c>
      <c r="I757" s="7">
        <v>5</v>
      </c>
      <c r="J757" s="8">
        <v>5</v>
      </c>
    </row>
    <row r="758" spans="1:10" x14ac:dyDescent="0.25">
      <c r="A758" s="6">
        <v>516876</v>
      </c>
      <c r="B758" s="7">
        <v>2</v>
      </c>
      <c r="C758" s="7">
        <v>162.50912534650001</v>
      </c>
      <c r="D758" s="7">
        <v>6</v>
      </c>
      <c r="E758" s="1">
        <v>6</v>
      </c>
      <c r="F758" s="7">
        <v>5</v>
      </c>
      <c r="G758" s="7">
        <v>5</v>
      </c>
      <c r="H758" s="7">
        <v>5</v>
      </c>
      <c r="I758" s="7">
        <v>5</v>
      </c>
      <c r="J758" s="8">
        <v>5</v>
      </c>
    </row>
    <row r="759" spans="1:10" hidden="1" x14ac:dyDescent="0.25">
      <c r="A759" s="6">
        <v>516911</v>
      </c>
      <c r="B759" s="7">
        <v>1</v>
      </c>
      <c r="C759" s="7">
        <v>758.43716332959502</v>
      </c>
      <c r="D759" s="7">
        <v>2</v>
      </c>
      <c r="E759" s="1">
        <v>5</v>
      </c>
      <c r="F759" s="7">
        <v>5</v>
      </c>
      <c r="G759" s="7">
        <v>5</v>
      </c>
      <c r="H759" s="7">
        <v>5</v>
      </c>
      <c r="I759" s="7">
        <v>5</v>
      </c>
      <c r="J759" s="8">
        <v>5</v>
      </c>
    </row>
    <row r="760" spans="1:10" hidden="1" x14ac:dyDescent="0.25">
      <c r="A760" s="6">
        <v>516972</v>
      </c>
      <c r="B760" s="7">
        <v>2</v>
      </c>
      <c r="C760" s="7">
        <v>716.41576124263895</v>
      </c>
      <c r="D760" s="7">
        <v>5</v>
      </c>
      <c r="E760" s="1">
        <v>4</v>
      </c>
      <c r="F760" s="7">
        <v>5</v>
      </c>
      <c r="G760" s="7">
        <v>5</v>
      </c>
      <c r="H760" s="7">
        <v>5</v>
      </c>
      <c r="I760" s="7">
        <v>5</v>
      </c>
      <c r="J760" s="8">
        <v>5</v>
      </c>
    </row>
    <row r="761" spans="1:10" hidden="1" x14ac:dyDescent="0.25">
      <c r="A761" s="6">
        <v>516973</v>
      </c>
      <c r="B761" s="7">
        <v>1</v>
      </c>
      <c r="C761" s="7">
        <v>1398.0049843368499</v>
      </c>
      <c r="D761" s="7">
        <v>7</v>
      </c>
      <c r="E761" s="1">
        <v>7</v>
      </c>
      <c r="F761" s="7">
        <v>5</v>
      </c>
      <c r="G761" s="7">
        <v>5</v>
      </c>
      <c r="H761" s="7">
        <v>5</v>
      </c>
      <c r="I761" s="7">
        <v>5</v>
      </c>
      <c r="J761" s="8">
        <v>5</v>
      </c>
    </row>
    <row r="762" spans="1:10" x14ac:dyDescent="0.25">
      <c r="A762" s="6">
        <v>516983</v>
      </c>
      <c r="B762" s="7">
        <v>2</v>
      </c>
      <c r="C762" s="7">
        <v>325.30918889281202</v>
      </c>
      <c r="D762" s="7">
        <v>9</v>
      </c>
      <c r="E762" s="1">
        <v>9</v>
      </c>
      <c r="F762" s="7">
        <v>5</v>
      </c>
      <c r="G762" s="7">
        <v>5</v>
      </c>
      <c r="H762" s="7">
        <v>5</v>
      </c>
      <c r="I762" s="7">
        <v>5</v>
      </c>
      <c r="J762" s="8">
        <v>5</v>
      </c>
    </row>
    <row r="763" spans="1:10" x14ac:dyDescent="0.25">
      <c r="A763" s="6">
        <v>517043</v>
      </c>
      <c r="B763" s="7">
        <v>1</v>
      </c>
      <c r="C763" s="7">
        <v>179.86320800068</v>
      </c>
      <c r="D763" s="7">
        <v>8</v>
      </c>
      <c r="E763" s="1">
        <v>8</v>
      </c>
      <c r="F763" s="7">
        <v>5</v>
      </c>
      <c r="G763" s="7">
        <v>5</v>
      </c>
      <c r="H763" s="7">
        <v>5</v>
      </c>
      <c r="I763" s="7">
        <v>5</v>
      </c>
      <c r="J763" s="8">
        <v>5</v>
      </c>
    </row>
    <row r="764" spans="1:10" hidden="1" x14ac:dyDescent="0.25">
      <c r="A764" s="6">
        <v>517066</v>
      </c>
      <c r="B764" s="7">
        <v>1</v>
      </c>
      <c r="C764" s="7">
        <v>2106.0099552164202</v>
      </c>
      <c r="D764" s="7">
        <v>4</v>
      </c>
      <c r="E764" s="1">
        <v>4</v>
      </c>
      <c r="F764" s="7">
        <v>5</v>
      </c>
      <c r="G764" s="7">
        <v>5</v>
      </c>
      <c r="H764" s="7">
        <v>5</v>
      </c>
      <c r="I764" s="7">
        <v>5</v>
      </c>
      <c r="J764" s="8">
        <v>5</v>
      </c>
    </row>
    <row r="765" spans="1:10" hidden="1" x14ac:dyDescent="0.25">
      <c r="A765" s="6">
        <v>517108</v>
      </c>
      <c r="B765" s="7">
        <v>1</v>
      </c>
      <c r="C765" s="7">
        <v>313.850472315388</v>
      </c>
      <c r="D765" s="7">
        <v>2</v>
      </c>
      <c r="E765" s="1">
        <v>5</v>
      </c>
      <c r="F765" s="7">
        <v>5</v>
      </c>
      <c r="G765" s="7">
        <v>5</v>
      </c>
      <c r="H765" s="7">
        <v>5</v>
      </c>
      <c r="I765" s="7">
        <v>5</v>
      </c>
      <c r="J765" s="8">
        <v>5</v>
      </c>
    </row>
    <row r="766" spans="1:10" hidden="1" x14ac:dyDescent="0.25">
      <c r="A766" s="6">
        <v>517125</v>
      </c>
      <c r="B766" s="7">
        <v>1</v>
      </c>
      <c r="C766" s="7">
        <v>526.57051075724303</v>
      </c>
      <c r="D766" s="7">
        <v>5</v>
      </c>
      <c r="E766" s="1">
        <v>5</v>
      </c>
      <c r="F766" s="7">
        <v>5</v>
      </c>
      <c r="G766" s="7">
        <v>5</v>
      </c>
      <c r="H766" s="7">
        <v>5</v>
      </c>
      <c r="I766" s="7">
        <v>5</v>
      </c>
      <c r="J766" s="8">
        <v>5</v>
      </c>
    </row>
    <row r="767" spans="1:10" x14ac:dyDescent="0.25">
      <c r="A767" s="6">
        <v>517144</v>
      </c>
      <c r="B767" s="7">
        <v>2</v>
      </c>
      <c r="C767" s="7">
        <v>755.91993952985695</v>
      </c>
      <c r="D767" s="7">
        <v>8</v>
      </c>
      <c r="E767" s="1">
        <v>8</v>
      </c>
      <c r="F767" s="7">
        <v>5</v>
      </c>
      <c r="G767" s="7">
        <v>5</v>
      </c>
      <c r="H767" s="7">
        <v>5</v>
      </c>
      <c r="I767" s="7">
        <v>5</v>
      </c>
      <c r="J767" s="8">
        <v>5</v>
      </c>
    </row>
    <row r="768" spans="1:10" hidden="1" x14ac:dyDescent="0.25">
      <c r="A768" s="6">
        <v>517146</v>
      </c>
      <c r="B768" s="7">
        <v>1</v>
      </c>
      <c r="C768" s="7">
        <v>1011.3617107019199</v>
      </c>
      <c r="D768" s="7">
        <v>7</v>
      </c>
      <c r="E768" s="1">
        <v>7</v>
      </c>
      <c r="F768" s="7">
        <v>5</v>
      </c>
      <c r="G768" s="7">
        <v>5</v>
      </c>
      <c r="H768" s="7">
        <v>5</v>
      </c>
      <c r="I768" s="7">
        <v>5</v>
      </c>
      <c r="J768" s="8">
        <v>5</v>
      </c>
    </row>
    <row r="769" spans="1:10" hidden="1" x14ac:dyDescent="0.25">
      <c r="A769" s="6">
        <v>517152</v>
      </c>
      <c r="B769" s="7">
        <v>1</v>
      </c>
      <c r="C769" s="7">
        <v>1220.44277514747</v>
      </c>
      <c r="D769" s="7">
        <v>5</v>
      </c>
      <c r="E769" s="1">
        <v>5</v>
      </c>
      <c r="F769" s="7">
        <v>5</v>
      </c>
      <c r="G769" s="7">
        <v>5</v>
      </c>
      <c r="H769" s="7">
        <v>5</v>
      </c>
      <c r="I769" s="7">
        <v>5</v>
      </c>
      <c r="J769" s="8">
        <v>5</v>
      </c>
    </row>
    <row r="770" spans="1:10" hidden="1" x14ac:dyDescent="0.25">
      <c r="A770" s="6">
        <v>517159</v>
      </c>
      <c r="B770" s="7">
        <v>2</v>
      </c>
      <c r="C770" s="7">
        <v>128.16042221088099</v>
      </c>
      <c r="D770" s="7">
        <v>5</v>
      </c>
      <c r="E770" s="1">
        <v>5</v>
      </c>
      <c r="F770" s="7">
        <v>5</v>
      </c>
      <c r="G770" s="7">
        <v>5</v>
      </c>
      <c r="H770" s="7">
        <v>5</v>
      </c>
      <c r="I770" s="7">
        <v>5</v>
      </c>
      <c r="J770" s="8">
        <v>5</v>
      </c>
    </row>
    <row r="771" spans="1:10" hidden="1" x14ac:dyDescent="0.25">
      <c r="A771" s="6">
        <v>517245</v>
      </c>
      <c r="B771" s="7">
        <v>2</v>
      </c>
      <c r="C771" s="7">
        <v>26.967576132627201</v>
      </c>
      <c r="D771" s="7">
        <v>7</v>
      </c>
      <c r="E771" s="1">
        <v>7</v>
      </c>
      <c r="F771" s="7">
        <v>5</v>
      </c>
      <c r="G771" s="7">
        <v>5</v>
      </c>
      <c r="H771" s="7">
        <v>5</v>
      </c>
      <c r="I771" s="7">
        <v>5</v>
      </c>
      <c r="J771" s="8">
        <v>5</v>
      </c>
    </row>
    <row r="772" spans="1:10" x14ac:dyDescent="0.25">
      <c r="A772" s="6">
        <v>517254</v>
      </c>
      <c r="B772" s="7">
        <v>2</v>
      </c>
      <c r="C772" s="7">
        <v>810.60478460420995</v>
      </c>
      <c r="D772" s="7">
        <v>8</v>
      </c>
      <c r="E772" s="1">
        <v>8</v>
      </c>
      <c r="F772" s="7">
        <v>5</v>
      </c>
      <c r="G772" s="7">
        <v>5</v>
      </c>
      <c r="H772" s="7">
        <v>5</v>
      </c>
      <c r="I772" s="7">
        <v>5</v>
      </c>
      <c r="J772" s="8">
        <v>5</v>
      </c>
    </row>
    <row r="773" spans="1:10" hidden="1" x14ac:dyDescent="0.25">
      <c r="A773" s="6">
        <v>517345</v>
      </c>
      <c r="B773" s="7">
        <v>2</v>
      </c>
      <c r="C773" s="7">
        <v>91.741886162332904</v>
      </c>
      <c r="D773" s="7">
        <v>7</v>
      </c>
      <c r="E773" s="1">
        <v>7</v>
      </c>
      <c r="F773" s="7">
        <v>5</v>
      </c>
      <c r="G773" s="7">
        <v>5</v>
      </c>
      <c r="H773" s="7">
        <v>5</v>
      </c>
      <c r="I773" s="7">
        <v>5</v>
      </c>
      <c r="J773" s="8">
        <v>5</v>
      </c>
    </row>
    <row r="774" spans="1:10" hidden="1" x14ac:dyDescent="0.25">
      <c r="A774" s="6">
        <v>517388</v>
      </c>
      <c r="B774" s="7">
        <v>1</v>
      </c>
      <c r="C774" s="7">
        <v>657.05917442760403</v>
      </c>
      <c r="D774" s="7">
        <v>5</v>
      </c>
      <c r="E774" s="1">
        <v>5</v>
      </c>
      <c r="F774" s="7">
        <v>5</v>
      </c>
      <c r="G774" s="7">
        <v>5</v>
      </c>
      <c r="H774" s="7">
        <v>5</v>
      </c>
      <c r="I774" s="7">
        <v>5</v>
      </c>
      <c r="J774" s="8">
        <v>5</v>
      </c>
    </row>
    <row r="775" spans="1:10" x14ac:dyDescent="0.25">
      <c r="A775" s="6">
        <v>517389</v>
      </c>
      <c r="B775" s="7">
        <v>1</v>
      </c>
      <c r="C775" s="7">
        <v>810.95314101644897</v>
      </c>
      <c r="D775" s="7">
        <v>8</v>
      </c>
      <c r="E775" s="1">
        <v>8</v>
      </c>
      <c r="F775" s="7">
        <v>5</v>
      </c>
      <c r="G775" s="7">
        <v>5</v>
      </c>
      <c r="H775" s="7">
        <v>5</v>
      </c>
      <c r="I775" s="7">
        <v>5</v>
      </c>
      <c r="J775" s="8">
        <v>5</v>
      </c>
    </row>
    <row r="776" spans="1:10" hidden="1" x14ac:dyDescent="0.25">
      <c r="A776" s="6">
        <v>517461</v>
      </c>
      <c r="B776" s="7">
        <v>2</v>
      </c>
      <c r="C776" s="7">
        <v>675.05791991145202</v>
      </c>
      <c r="D776" s="7">
        <v>5</v>
      </c>
      <c r="E776" s="1">
        <v>4</v>
      </c>
      <c r="F776" s="7">
        <v>5</v>
      </c>
      <c r="G776" s="7">
        <v>5</v>
      </c>
      <c r="H776" s="7">
        <v>5</v>
      </c>
      <c r="I776" s="7">
        <v>5</v>
      </c>
      <c r="J776" s="8">
        <v>5</v>
      </c>
    </row>
    <row r="777" spans="1:10" hidden="1" x14ac:dyDescent="0.25">
      <c r="A777" s="6">
        <v>517472</v>
      </c>
      <c r="B777" s="7">
        <v>2</v>
      </c>
      <c r="C777" s="7">
        <v>878.24662042507396</v>
      </c>
      <c r="D777" s="7">
        <v>7</v>
      </c>
      <c r="E777" s="1">
        <v>7</v>
      </c>
      <c r="F777" s="7">
        <v>5</v>
      </c>
      <c r="G777" s="7">
        <v>5</v>
      </c>
      <c r="H777" s="7">
        <v>5</v>
      </c>
      <c r="I777" s="7">
        <v>5</v>
      </c>
      <c r="J777" s="8">
        <v>5</v>
      </c>
    </row>
    <row r="778" spans="1:10" hidden="1" x14ac:dyDescent="0.25">
      <c r="A778" s="6">
        <v>517499</v>
      </c>
      <c r="B778" s="7">
        <v>1</v>
      </c>
      <c r="C778" s="7">
        <v>276.24638540074301</v>
      </c>
      <c r="D778" s="7">
        <v>4</v>
      </c>
      <c r="E778" s="1">
        <v>4</v>
      </c>
      <c r="F778" s="7">
        <v>5</v>
      </c>
      <c r="G778" s="7">
        <v>5</v>
      </c>
      <c r="H778" s="7">
        <v>5</v>
      </c>
      <c r="I778" s="7">
        <v>5</v>
      </c>
      <c r="J778" s="8">
        <v>5</v>
      </c>
    </row>
    <row r="779" spans="1:10" hidden="1" x14ac:dyDescent="0.25">
      <c r="A779" s="6">
        <v>517531</v>
      </c>
      <c r="B779" s="7">
        <v>1</v>
      </c>
      <c r="C779" s="7">
        <v>646.09834339774295</v>
      </c>
      <c r="D779" s="7">
        <v>2</v>
      </c>
      <c r="E779" s="1">
        <v>5</v>
      </c>
      <c r="F779" s="7">
        <v>5</v>
      </c>
      <c r="G779" s="7">
        <v>5</v>
      </c>
      <c r="H779" s="7">
        <v>5</v>
      </c>
      <c r="I779" s="7">
        <v>5</v>
      </c>
      <c r="J779" s="8">
        <v>5</v>
      </c>
    </row>
    <row r="780" spans="1:10" hidden="1" x14ac:dyDescent="0.25">
      <c r="A780" s="6">
        <v>517732</v>
      </c>
      <c r="B780" s="7">
        <v>1</v>
      </c>
      <c r="C780" s="7">
        <v>422.76844825754301</v>
      </c>
      <c r="D780" s="7">
        <v>4</v>
      </c>
      <c r="E780" s="1">
        <v>2</v>
      </c>
      <c r="F780" s="7">
        <v>5</v>
      </c>
      <c r="G780" s="7">
        <v>5</v>
      </c>
      <c r="H780" s="7">
        <v>5</v>
      </c>
      <c r="I780" s="7">
        <v>5</v>
      </c>
      <c r="J780" s="8">
        <v>5</v>
      </c>
    </row>
    <row r="781" spans="1:10" hidden="1" x14ac:dyDescent="0.25">
      <c r="A781" s="6">
        <v>517737</v>
      </c>
      <c r="B781" s="7">
        <v>2</v>
      </c>
      <c r="C781" s="7">
        <v>133.815086100256</v>
      </c>
      <c r="D781" s="7">
        <v>7</v>
      </c>
      <c r="E781" s="1">
        <v>7</v>
      </c>
      <c r="F781" s="7">
        <v>5</v>
      </c>
      <c r="G781" s="7">
        <v>5</v>
      </c>
      <c r="H781" s="7">
        <v>5</v>
      </c>
      <c r="I781" s="7">
        <v>5</v>
      </c>
      <c r="J781" s="8">
        <v>5</v>
      </c>
    </row>
    <row r="782" spans="1:10" x14ac:dyDescent="0.25">
      <c r="A782" s="6">
        <v>517767</v>
      </c>
      <c r="B782" s="7">
        <v>2</v>
      </c>
      <c r="C782" s="7">
        <v>25.552002368854701</v>
      </c>
      <c r="D782" s="7">
        <v>8</v>
      </c>
      <c r="E782" s="1">
        <v>8</v>
      </c>
      <c r="F782" s="7">
        <v>5</v>
      </c>
      <c r="G782" s="7">
        <v>5</v>
      </c>
      <c r="H782" s="7">
        <v>5</v>
      </c>
      <c r="I782" s="7">
        <v>5</v>
      </c>
      <c r="J782" s="8">
        <v>5</v>
      </c>
    </row>
    <row r="783" spans="1:10" hidden="1" x14ac:dyDescent="0.25">
      <c r="A783" s="6">
        <v>517777</v>
      </c>
      <c r="B783" s="7">
        <v>1</v>
      </c>
      <c r="C783" s="7">
        <v>1405.95213912124</v>
      </c>
      <c r="D783" s="7">
        <v>2</v>
      </c>
      <c r="E783" s="1">
        <v>4</v>
      </c>
      <c r="F783" s="7">
        <v>5</v>
      </c>
      <c r="G783" s="7">
        <v>5</v>
      </c>
      <c r="H783" s="7">
        <v>5</v>
      </c>
      <c r="I783" s="7">
        <v>5</v>
      </c>
      <c r="J783" s="8">
        <v>5</v>
      </c>
    </row>
    <row r="784" spans="1:10" hidden="1" x14ac:dyDescent="0.25">
      <c r="A784" s="6">
        <v>517802</v>
      </c>
      <c r="B784" s="7">
        <v>1</v>
      </c>
      <c r="C784" s="7">
        <v>1235.5574847212299</v>
      </c>
      <c r="D784" s="7">
        <v>7</v>
      </c>
      <c r="E784" s="1">
        <v>7</v>
      </c>
      <c r="F784" s="7">
        <v>5</v>
      </c>
      <c r="G784" s="7">
        <v>5</v>
      </c>
      <c r="H784" s="7">
        <v>5</v>
      </c>
      <c r="I784" s="7">
        <v>5</v>
      </c>
      <c r="J784" s="8">
        <v>5</v>
      </c>
    </row>
    <row r="785" spans="1:10" hidden="1" x14ac:dyDescent="0.25">
      <c r="A785" s="6">
        <v>517816</v>
      </c>
      <c r="B785" s="7">
        <v>1</v>
      </c>
      <c r="C785" s="7">
        <v>807.70725404503105</v>
      </c>
      <c r="D785" s="7">
        <v>4</v>
      </c>
      <c r="E785" s="1">
        <v>4</v>
      </c>
      <c r="F785" s="7">
        <v>5</v>
      </c>
      <c r="G785" s="7">
        <v>5</v>
      </c>
      <c r="H785" s="7">
        <v>5</v>
      </c>
      <c r="I785" s="7">
        <v>5</v>
      </c>
      <c r="J785" s="8">
        <v>5</v>
      </c>
    </row>
    <row r="786" spans="1:10" hidden="1" x14ac:dyDescent="0.25">
      <c r="A786" s="6">
        <v>517841</v>
      </c>
      <c r="B786" s="7">
        <v>2</v>
      </c>
      <c r="C786" s="7">
        <v>73.765240909357104</v>
      </c>
      <c r="D786" s="7">
        <v>7</v>
      </c>
      <c r="E786" s="1">
        <v>7</v>
      </c>
      <c r="F786" s="7">
        <v>5</v>
      </c>
      <c r="G786" s="7">
        <v>5</v>
      </c>
      <c r="H786" s="7">
        <v>5</v>
      </c>
      <c r="I786" s="7">
        <v>5</v>
      </c>
      <c r="J786" s="8">
        <v>5</v>
      </c>
    </row>
    <row r="787" spans="1:10" x14ac:dyDescent="0.25">
      <c r="A787" s="6">
        <v>517842</v>
      </c>
      <c r="B787" s="7">
        <v>2</v>
      </c>
      <c r="C787" s="7">
        <v>808.02793786285997</v>
      </c>
      <c r="D787" s="7">
        <v>6</v>
      </c>
      <c r="E787" s="1">
        <v>7</v>
      </c>
      <c r="F787" s="7">
        <v>5</v>
      </c>
      <c r="G787" s="7">
        <v>5</v>
      </c>
      <c r="H787" s="7">
        <v>5</v>
      </c>
      <c r="I787" s="7">
        <v>5</v>
      </c>
      <c r="J787" s="8">
        <v>5</v>
      </c>
    </row>
    <row r="788" spans="1:10" x14ac:dyDescent="0.25">
      <c r="A788" s="6">
        <v>517843</v>
      </c>
      <c r="B788" s="7">
        <v>2</v>
      </c>
      <c r="C788" s="7">
        <v>316.78460321599403</v>
      </c>
      <c r="D788" s="7">
        <v>8</v>
      </c>
      <c r="E788" s="1">
        <v>8</v>
      </c>
      <c r="F788" s="7">
        <v>5</v>
      </c>
      <c r="G788" s="7">
        <v>5</v>
      </c>
      <c r="H788" s="7">
        <v>5</v>
      </c>
      <c r="I788" s="7">
        <v>5</v>
      </c>
      <c r="J788" s="8">
        <v>5</v>
      </c>
    </row>
    <row r="789" spans="1:10" hidden="1" x14ac:dyDescent="0.25">
      <c r="A789" s="6">
        <v>517864</v>
      </c>
      <c r="B789" s="7">
        <v>1</v>
      </c>
      <c r="C789" s="7">
        <v>420.19052330679602</v>
      </c>
      <c r="D789" s="7">
        <v>2</v>
      </c>
      <c r="E789" s="1">
        <v>4</v>
      </c>
      <c r="F789" s="7">
        <v>5</v>
      </c>
      <c r="G789" s="7">
        <v>5</v>
      </c>
      <c r="H789" s="7">
        <v>5</v>
      </c>
      <c r="I789" s="7">
        <v>5</v>
      </c>
      <c r="J789" s="8">
        <v>5</v>
      </c>
    </row>
    <row r="790" spans="1:10" hidden="1" x14ac:dyDescent="0.25">
      <c r="A790" s="6">
        <v>517881</v>
      </c>
      <c r="B790" s="7">
        <v>2</v>
      </c>
      <c r="C790" s="7">
        <v>24.104986169660801</v>
      </c>
      <c r="D790" s="7">
        <v>7</v>
      </c>
      <c r="E790" s="1">
        <v>7</v>
      </c>
      <c r="F790" s="7">
        <v>5</v>
      </c>
      <c r="G790" s="7">
        <v>5</v>
      </c>
      <c r="H790" s="7">
        <v>5</v>
      </c>
      <c r="I790" s="7">
        <v>5</v>
      </c>
      <c r="J790" s="8">
        <v>5</v>
      </c>
    </row>
    <row r="791" spans="1:10" x14ac:dyDescent="0.25">
      <c r="A791" s="6">
        <v>517891</v>
      </c>
      <c r="B791" s="7">
        <v>2</v>
      </c>
      <c r="C791" s="7">
        <v>339.78611537254301</v>
      </c>
      <c r="D791" s="7">
        <v>6</v>
      </c>
      <c r="E791" s="1">
        <v>7</v>
      </c>
      <c r="F791" s="7">
        <v>5</v>
      </c>
      <c r="G791" s="7">
        <v>5</v>
      </c>
      <c r="H791" s="7">
        <v>5</v>
      </c>
      <c r="I791" s="7">
        <v>5</v>
      </c>
      <c r="J791" s="8">
        <v>5</v>
      </c>
    </row>
    <row r="792" spans="1:10" x14ac:dyDescent="0.25">
      <c r="A792" s="6">
        <v>517893</v>
      </c>
      <c r="B792" s="7">
        <v>2</v>
      </c>
      <c r="C792" s="7">
        <v>153.55105994284301</v>
      </c>
      <c r="D792" s="7">
        <v>6</v>
      </c>
      <c r="E792" s="1">
        <v>6</v>
      </c>
      <c r="F792" s="7">
        <v>5</v>
      </c>
      <c r="G792" s="7">
        <v>5</v>
      </c>
      <c r="H792" s="7">
        <v>5</v>
      </c>
      <c r="I792" s="7">
        <v>5</v>
      </c>
      <c r="J792" s="8">
        <v>5</v>
      </c>
    </row>
    <row r="793" spans="1:10" hidden="1" x14ac:dyDescent="0.25">
      <c r="A793" s="6">
        <v>517925</v>
      </c>
      <c r="B793" s="7">
        <v>1</v>
      </c>
      <c r="C793" s="7">
        <v>697.24938906835496</v>
      </c>
      <c r="D793" s="7">
        <v>2</v>
      </c>
      <c r="E793" s="1">
        <v>4</v>
      </c>
      <c r="F793" s="7">
        <v>5</v>
      </c>
      <c r="G793" s="7">
        <v>5</v>
      </c>
      <c r="H793" s="7">
        <v>5</v>
      </c>
      <c r="I793" s="7">
        <v>5</v>
      </c>
      <c r="J793" s="8">
        <v>5</v>
      </c>
    </row>
    <row r="794" spans="1:10" hidden="1" x14ac:dyDescent="0.25">
      <c r="A794" s="6">
        <v>517937</v>
      </c>
      <c r="B794" s="7">
        <v>1</v>
      </c>
      <c r="C794" s="7">
        <v>426.28766320798297</v>
      </c>
      <c r="D794" s="7">
        <v>2</v>
      </c>
      <c r="E794" s="1">
        <v>8</v>
      </c>
      <c r="F794" s="7">
        <v>5</v>
      </c>
      <c r="G794" s="7">
        <v>5</v>
      </c>
      <c r="H794" s="7">
        <v>5</v>
      </c>
      <c r="I794" s="7">
        <v>5</v>
      </c>
      <c r="J794" s="8">
        <v>5</v>
      </c>
    </row>
    <row r="795" spans="1:10" hidden="1" x14ac:dyDescent="0.25">
      <c r="A795" s="6">
        <v>517952</v>
      </c>
      <c r="B795" s="7">
        <v>2</v>
      </c>
      <c r="C795" s="7">
        <v>26.629878399302701</v>
      </c>
      <c r="D795" s="7">
        <v>7</v>
      </c>
      <c r="E795" s="1">
        <v>7</v>
      </c>
      <c r="F795" s="7">
        <v>5</v>
      </c>
      <c r="G795" s="7">
        <v>5</v>
      </c>
      <c r="H795" s="7">
        <v>5</v>
      </c>
      <c r="I795" s="7">
        <v>5</v>
      </c>
      <c r="J795" s="8">
        <v>5</v>
      </c>
    </row>
    <row r="796" spans="1:10" hidden="1" x14ac:dyDescent="0.25">
      <c r="A796" s="6">
        <v>518005</v>
      </c>
      <c r="B796" s="7">
        <v>1</v>
      </c>
      <c r="C796" s="7">
        <v>986.099596324804</v>
      </c>
      <c r="D796" s="7">
        <v>5</v>
      </c>
      <c r="E796" s="1">
        <v>5</v>
      </c>
      <c r="F796" s="7">
        <v>5</v>
      </c>
      <c r="G796" s="7">
        <v>5</v>
      </c>
      <c r="H796" s="7">
        <v>5</v>
      </c>
      <c r="I796" s="7">
        <v>5</v>
      </c>
      <c r="J796" s="8">
        <v>5</v>
      </c>
    </row>
    <row r="797" spans="1:10" hidden="1" x14ac:dyDescent="0.25">
      <c r="A797" s="6">
        <v>518018</v>
      </c>
      <c r="B797" s="7">
        <v>1</v>
      </c>
      <c r="C797" s="7">
        <v>762.95822873825205</v>
      </c>
      <c r="D797" s="7">
        <v>2</v>
      </c>
      <c r="E797" s="1">
        <v>4</v>
      </c>
      <c r="F797" s="7">
        <v>5</v>
      </c>
      <c r="G797" s="7">
        <v>5</v>
      </c>
      <c r="H797" s="7">
        <v>5</v>
      </c>
      <c r="I797" s="7">
        <v>5</v>
      </c>
      <c r="J797" s="8">
        <v>5</v>
      </c>
    </row>
    <row r="798" spans="1:10" hidden="1" x14ac:dyDescent="0.25">
      <c r="A798" s="6">
        <v>518092</v>
      </c>
      <c r="B798" s="7">
        <v>1</v>
      </c>
      <c r="C798" s="7">
        <v>995.20922951524005</v>
      </c>
      <c r="D798" s="7">
        <v>2</v>
      </c>
      <c r="E798" s="1">
        <v>4</v>
      </c>
      <c r="F798" s="7">
        <v>5</v>
      </c>
      <c r="G798" s="7">
        <v>5</v>
      </c>
      <c r="H798" s="7">
        <v>5</v>
      </c>
      <c r="I798" s="7">
        <v>5</v>
      </c>
      <c r="J798" s="8">
        <v>5</v>
      </c>
    </row>
    <row r="799" spans="1:10" hidden="1" x14ac:dyDescent="0.25">
      <c r="A799" s="6">
        <v>518110</v>
      </c>
      <c r="B799" s="7">
        <v>1</v>
      </c>
      <c r="C799" s="7">
        <v>170.192471672295</v>
      </c>
      <c r="D799" s="7">
        <v>5</v>
      </c>
      <c r="E799" s="1">
        <v>5</v>
      </c>
      <c r="F799" s="7">
        <v>5</v>
      </c>
      <c r="G799" s="7">
        <v>5</v>
      </c>
      <c r="H799" s="7">
        <v>5</v>
      </c>
      <c r="I799" s="7">
        <v>5</v>
      </c>
      <c r="J799" s="8">
        <v>5</v>
      </c>
    </row>
    <row r="800" spans="1:10" x14ac:dyDescent="0.25">
      <c r="A800" s="6">
        <v>518131</v>
      </c>
      <c r="B800" s="7">
        <v>2</v>
      </c>
      <c r="C800" s="7">
        <v>22.9095277405765</v>
      </c>
      <c r="D800" s="7">
        <v>8</v>
      </c>
      <c r="E800" s="1">
        <v>8</v>
      </c>
      <c r="F800" s="7">
        <v>5</v>
      </c>
      <c r="G800" s="7">
        <v>5</v>
      </c>
      <c r="H800" s="7">
        <v>5</v>
      </c>
      <c r="I800" s="7">
        <v>5</v>
      </c>
      <c r="J800" s="8">
        <v>5</v>
      </c>
    </row>
    <row r="801" spans="1:10" hidden="1" x14ac:dyDescent="0.25">
      <c r="A801" s="6">
        <v>518155</v>
      </c>
      <c r="B801" s="7">
        <v>1</v>
      </c>
      <c r="C801" s="7">
        <v>526.66882361856995</v>
      </c>
      <c r="D801" s="7">
        <v>5</v>
      </c>
      <c r="E801" s="1">
        <v>3</v>
      </c>
      <c r="F801" s="7">
        <v>5</v>
      </c>
      <c r="G801" s="7">
        <v>5</v>
      </c>
      <c r="H801" s="7">
        <v>5</v>
      </c>
      <c r="I801" s="7">
        <v>5</v>
      </c>
      <c r="J801" s="8">
        <v>5</v>
      </c>
    </row>
    <row r="802" spans="1:10" hidden="1" x14ac:dyDescent="0.25">
      <c r="A802" s="6">
        <v>518173</v>
      </c>
      <c r="B802" s="7">
        <v>1</v>
      </c>
      <c r="C802" s="7">
        <v>1174.91725698144</v>
      </c>
      <c r="D802" s="7">
        <v>4</v>
      </c>
      <c r="E802" s="1">
        <v>4</v>
      </c>
      <c r="F802" s="7">
        <v>5</v>
      </c>
      <c r="G802" s="7">
        <v>5</v>
      </c>
      <c r="H802" s="7">
        <v>5</v>
      </c>
      <c r="I802" s="7">
        <v>5</v>
      </c>
      <c r="J802" s="8">
        <v>5</v>
      </c>
    </row>
    <row r="803" spans="1:10" hidden="1" x14ac:dyDescent="0.25">
      <c r="A803" s="6">
        <v>518183</v>
      </c>
      <c r="B803" s="7">
        <v>1</v>
      </c>
      <c r="C803" s="7">
        <v>144.439663458723</v>
      </c>
      <c r="D803" s="7">
        <v>4</v>
      </c>
      <c r="E803" s="1">
        <v>9</v>
      </c>
      <c r="F803" s="7">
        <v>5</v>
      </c>
      <c r="G803" s="7">
        <v>5</v>
      </c>
      <c r="H803" s="7">
        <v>5</v>
      </c>
      <c r="I803" s="7">
        <v>5</v>
      </c>
      <c r="J803" s="8">
        <v>5</v>
      </c>
    </row>
    <row r="804" spans="1:10" x14ac:dyDescent="0.25">
      <c r="A804" s="6">
        <v>518187</v>
      </c>
      <c r="B804" s="7">
        <v>2</v>
      </c>
      <c r="C804" s="7">
        <v>362.34643319358503</v>
      </c>
      <c r="D804" s="7">
        <v>6</v>
      </c>
      <c r="E804" s="1">
        <v>7</v>
      </c>
      <c r="F804" s="7">
        <v>5</v>
      </c>
      <c r="G804" s="7">
        <v>5</v>
      </c>
      <c r="H804" s="7">
        <v>5</v>
      </c>
      <c r="I804" s="7">
        <v>5</v>
      </c>
      <c r="J804" s="8">
        <v>5</v>
      </c>
    </row>
    <row r="805" spans="1:10" x14ac:dyDescent="0.25">
      <c r="A805" s="6">
        <v>518188</v>
      </c>
      <c r="B805" s="7">
        <v>2</v>
      </c>
      <c r="C805" s="7">
        <v>113.690864194049</v>
      </c>
      <c r="D805" s="7">
        <v>8</v>
      </c>
      <c r="E805" s="1">
        <v>8</v>
      </c>
      <c r="F805" s="7">
        <v>5</v>
      </c>
      <c r="G805" s="7">
        <v>5</v>
      </c>
      <c r="H805" s="7">
        <v>5</v>
      </c>
      <c r="I805" s="7">
        <v>5</v>
      </c>
      <c r="J805" s="8">
        <v>5</v>
      </c>
    </row>
    <row r="806" spans="1:10" x14ac:dyDescent="0.25">
      <c r="A806" s="6">
        <v>518202</v>
      </c>
      <c r="B806" s="7">
        <v>2</v>
      </c>
      <c r="C806" s="7">
        <v>217.839091765706</v>
      </c>
      <c r="D806" s="7">
        <v>8</v>
      </c>
      <c r="E806" s="1">
        <v>8</v>
      </c>
      <c r="F806" s="7">
        <v>5</v>
      </c>
      <c r="G806" s="7">
        <v>5</v>
      </c>
      <c r="H806" s="7">
        <v>5</v>
      </c>
      <c r="I806" s="7">
        <v>5</v>
      </c>
      <c r="J806" s="8">
        <v>5</v>
      </c>
    </row>
    <row r="807" spans="1:10" x14ac:dyDescent="0.25">
      <c r="A807" s="6">
        <v>518207</v>
      </c>
      <c r="B807" s="7">
        <v>2</v>
      </c>
      <c r="C807" s="7">
        <v>870.93704851385905</v>
      </c>
      <c r="D807" s="7">
        <v>9</v>
      </c>
      <c r="E807" s="1">
        <v>9</v>
      </c>
      <c r="F807" s="7">
        <v>5</v>
      </c>
      <c r="G807" s="7">
        <v>5</v>
      </c>
      <c r="H807" s="7">
        <v>5</v>
      </c>
      <c r="I807" s="7">
        <v>5</v>
      </c>
      <c r="J807" s="8">
        <v>5</v>
      </c>
    </row>
    <row r="808" spans="1:10" hidden="1" x14ac:dyDescent="0.25">
      <c r="A808" s="6">
        <v>518210</v>
      </c>
      <c r="B808" s="7">
        <v>2</v>
      </c>
      <c r="C808" s="7">
        <v>369.52509740187702</v>
      </c>
      <c r="D808" s="7">
        <v>7</v>
      </c>
      <c r="E808" s="1">
        <v>7</v>
      </c>
      <c r="F808" s="7">
        <v>5</v>
      </c>
      <c r="G808" s="7">
        <v>5</v>
      </c>
      <c r="H808" s="7">
        <v>5</v>
      </c>
      <c r="I808" s="7">
        <v>5</v>
      </c>
      <c r="J808" s="8">
        <v>5</v>
      </c>
    </row>
    <row r="809" spans="1:10" x14ac:dyDescent="0.25">
      <c r="A809" s="6">
        <v>518223</v>
      </c>
      <c r="B809" s="7">
        <v>2</v>
      </c>
      <c r="C809" s="7">
        <v>834.846743112441</v>
      </c>
      <c r="D809" s="7">
        <v>6</v>
      </c>
      <c r="E809" s="1">
        <v>5</v>
      </c>
      <c r="F809" s="7">
        <v>5</v>
      </c>
      <c r="G809" s="7">
        <v>5</v>
      </c>
      <c r="H809" s="7">
        <v>5</v>
      </c>
      <c r="I809" s="7">
        <v>5</v>
      </c>
      <c r="J809" s="8">
        <v>5</v>
      </c>
    </row>
    <row r="810" spans="1:10" hidden="1" x14ac:dyDescent="0.25">
      <c r="A810" s="6">
        <v>518229</v>
      </c>
      <c r="B810" s="7">
        <v>2</v>
      </c>
      <c r="C810" s="7">
        <v>210.02647189258499</v>
      </c>
      <c r="D810" s="7">
        <v>7</v>
      </c>
      <c r="E810" s="1">
        <v>7</v>
      </c>
      <c r="F810" s="7">
        <v>5</v>
      </c>
      <c r="G810" s="7">
        <v>5</v>
      </c>
      <c r="H810" s="7">
        <v>5</v>
      </c>
      <c r="I810" s="7">
        <v>5</v>
      </c>
      <c r="J810" s="8">
        <v>5</v>
      </c>
    </row>
    <row r="811" spans="1:10" hidden="1" x14ac:dyDescent="0.25">
      <c r="A811" s="6">
        <v>518233</v>
      </c>
      <c r="B811" s="7">
        <v>2</v>
      </c>
      <c r="C811" s="7">
        <v>697.414673419275</v>
      </c>
      <c r="D811" s="7">
        <v>7</v>
      </c>
      <c r="E811" s="1">
        <v>7</v>
      </c>
      <c r="F811" s="7">
        <v>5</v>
      </c>
      <c r="G811" s="7">
        <v>5</v>
      </c>
      <c r="H811" s="7">
        <v>5</v>
      </c>
      <c r="I811" s="7">
        <v>5</v>
      </c>
      <c r="J811" s="8">
        <v>5</v>
      </c>
    </row>
    <row r="812" spans="1:10" hidden="1" x14ac:dyDescent="0.25">
      <c r="A812" s="6">
        <v>518259</v>
      </c>
      <c r="B812" s="7">
        <v>2</v>
      </c>
      <c r="C812" s="7">
        <v>210.279329396051</v>
      </c>
      <c r="D812" s="7">
        <v>4</v>
      </c>
      <c r="E812" s="1">
        <v>4</v>
      </c>
      <c r="F812" s="7">
        <v>5</v>
      </c>
      <c r="G812" s="7">
        <v>5</v>
      </c>
      <c r="H812" s="7">
        <v>5</v>
      </c>
      <c r="I812" s="7">
        <v>5</v>
      </c>
      <c r="J812" s="8">
        <v>5</v>
      </c>
    </row>
    <row r="813" spans="1:10" hidden="1" x14ac:dyDescent="0.25">
      <c r="A813" s="6">
        <v>518263</v>
      </c>
      <c r="B813" s="7">
        <v>1</v>
      </c>
      <c r="C813" s="7">
        <v>613.23928501843795</v>
      </c>
      <c r="D813" s="7">
        <v>7</v>
      </c>
      <c r="E813" s="1">
        <v>7</v>
      </c>
      <c r="F813" s="7">
        <v>5</v>
      </c>
      <c r="G813" s="7">
        <v>5</v>
      </c>
      <c r="H813" s="7">
        <v>5</v>
      </c>
      <c r="I813" s="7">
        <v>5</v>
      </c>
      <c r="J813" s="8">
        <v>5</v>
      </c>
    </row>
    <row r="814" spans="1:10" hidden="1" x14ac:dyDescent="0.25">
      <c r="A814" s="6">
        <v>518276</v>
      </c>
      <c r="B814" s="7">
        <v>2</v>
      </c>
      <c r="C814" s="7">
        <v>265.72573818810503</v>
      </c>
      <c r="D814" s="7">
        <v>7</v>
      </c>
      <c r="E814" s="1">
        <v>7</v>
      </c>
      <c r="F814" s="7">
        <v>5</v>
      </c>
      <c r="G814" s="7">
        <v>5</v>
      </c>
      <c r="H814" s="7">
        <v>5</v>
      </c>
      <c r="I814" s="7">
        <v>5</v>
      </c>
      <c r="J814" s="8">
        <v>5</v>
      </c>
    </row>
    <row r="815" spans="1:10" hidden="1" x14ac:dyDescent="0.25">
      <c r="A815" s="6">
        <v>518332</v>
      </c>
      <c r="B815" s="7">
        <v>2</v>
      </c>
      <c r="C815" s="7">
        <v>1039.9770745907001</v>
      </c>
      <c r="D815" s="7">
        <v>2</v>
      </c>
      <c r="E815" s="1">
        <v>2</v>
      </c>
      <c r="F815" s="7">
        <v>5</v>
      </c>
      <c r="G815" s="7">
        <v>1</v>
      </c>
      <c r="H815" s="7">
        <v>1</v>
      </c>
      <c r="I815" s="7">
        <v>5</v>
      </c>
      <c r="J815" s="8">
        <v>5</v>
      </c>
    </row>
    <row r="816" spans="1:10" x14ac:dyDescent="0.25">
      <c r="A816" s="6">
        <v>518334</v>
      </c>
      <c r="B816" s="7">
        <v>1</v>
      </c>
      <c r="C816" s="7">
        <v>1239.9997467513499</v>
      </c>
      <c r="D816" s="7">
        <v>6</v>
      </c>
      <c r="E816" s="1">
        <v>6</v>
      </c>
      <c r="F816" s="7">
        <v>5</v>
      </c>
      <c r="G816" s="7">
        <v>5</v>
      </c>
      <c r="H816" s="7">
        <v>5</v>
      </c>
      <c r="I816" s="7">
        <v>5</v>
      </c>
      <c r="J816" s="8">
        <v>5</v>
      </c>
    </row>
    <row r="817" spans="1:10" hidden="1" x14ac:dyDescent="0.25">
      <c r="A817" s="6">
        <v>518344</v>
      </c>
      <c r="B817" s="7">
        <v>1</v>
      </c>
      <c r="C817" s="7">
        <v>1180.1050348850899</v>
      </c>
      <c r="D817" s="7">
        <v>4</v>
      </c>
      <c r="E817" s="1">
        <v>4</v>
      </c>
      <c r="F817" s="7">
        <v>5</v>
      </c>
      <c r="G817" s="7">
        <v>5</v>
      </c>
      <c r="H817" s="7">
        <v>5</v>
      </c>
      <c r="I817" s="7">
        <v>5</v>
      </c>
      <c r="J817" s="8">
        <v>5</v>
      </c>
    </row>
    <row r="818" spans="1:10" hidden="1" x14ac:dyDescent="0.25">
      <c r="A818" s="6">
        <v>518358</v>
      </c>
      <c r="B818" s="7">
        <v>1</v>
      </c>
      <c r="C818" s="7">
        <v>648.88206295036196</v>
      </c>
      <c r="D818" s="7">
        <v>2</v>
      </c>
      <c r="E818" s="1">
        <v>5</v>
      </c>
      <c r="F818" s="7">
        <v>5</v>
      </c>
      <c r="G818" s="7">
        <v>5</v>
      </c>
      <c r="H818" s="7">
        <v>5</v>
      </c>
      <c r="I818" s="7">
        <v>5</v>
      </c>
      <c r="J818" s="8">
        <v>5</v>
      </c>
    </row>
    <row r="819" spans="1:10" x14ac:dyDescent="0.25">
      <c r="A819" s="6">
        <v>518374</v>
      </c>
      <c r="B819" s="7">
        <v>2</v>
      </c>
      <c r="C819" s="7">
        <v>1065.4888914552</v>
      </c>
      <c r="D819" s="7">
        <v>6</v>
      </c>
      <c r="E819" s="1">
        <v>6</v>
      </c>
      <c r="F819" s="7">
        <v>5</v>
      </c>
      <c r="G819" s="7">
        <v>5</v>
      </c>
      <c r="H819" s="7">
        <v>5</v>
      </c>
      <c r="I819" s="7">
        <v>5</v>
      </c>
      <c r="J819" s="8">
        <v>5</v>
      </c>
    </row>
    <row r="820" spans="1:10" hidden="1" x14ac:dyDescent="0.25">
      <c r="A820" s="6">
        <v>518392</v>
      </c>
      <c r="B820" s="7">
        <v>1</v>
      </c>
      <c r="C820" s="7">
        <v>317.56784885159902</v>
      </c>
      <c r="D820" s="7">
        <v>5</v>
      </c>
      <c r="E820" s="1">
        <v>5</v>
      </c>
      <c r="F820" s="7">
        <v>5</v>
      </c>
      <c r="G820" s="7">
        <v>5</v>
      </c>
      <c r="H820" s="7">
        <v>5</v>
      </c>
      <c r="I820" s="7">
        <v>5</v>
      </c>
      <c r="J820" s="8">
        <v>5</v>
      </c>
    </row>
    <row r="821" spans="1:10" hidden="1" x14ac:dyDescent="0.25">
      <c r="A821" s="6">
        <v>518396</v>
      </c>
      <c r="B821" s="7">
        <v>2</v>
      </c>
      <c r="C821" s="7">
        <v>221.36311925814601</v>
      </c>
      <c r="D821" s="7">
        <v>4</v>
      </c>
      <c r="E821" s="1">
        <v>4</v>
      </c>
      <c r="F821" s="7">
        <v>5</v>
      </c>
      <c r="G821" s="7">
        <v>5</v>
      </c>
      <c r="H821" s="7">
        <v>5</v>
      </c>
      <c r="I821" s="7">
        <v>5</v>
      </c>
      <c r="J821" s="8">
        <v>5</v>
      </c>
    </row>
    <row r="822" spans="1:10" x14ac:dyDescent="0.25">
      <c r="A822" s="6">
        <v>518433</v>
      </c>
      <c r="B822" s="7">
        <v>2</v>
      </c>
      <c r="C822" s="7">
        <v>28.849034932577901</v>
      </c>
      <c r="D822" s="7">
        <v>6</v>
      </c>
      <c r="E822" s="1">
        <v>6</v>
      </c>
      <c r="F822" s="7">
        <v>5</v>
      </c>
      <c r="G822" s="7">
        <v>5</v>
      </c>
      <c r="H822" s="7">
        <v>5</v>
      </c>
      <c r="I822" s="7">
        <v>5</v>
      </c>
      <c r="J822" s="8">
        <v>5</v>
      </c>
    </row>
    <row r="823" spans="1:10" hidden="1" x14ac:dyDescent="0.25">
      <c r="A823" s="6">
        <v>518513</v>
      </c>
      <c r="B823" s="7">
        <v>1</v>
      </c>
      <c r="C823" s="7">
        <v>858.32243411753905</v>
      </c>
      <c r="D823" s="7">
        <v>5</v>
      </c>
      <c r="E823" s="1">
        <v>5</v>
      </c>
      <c r="F823" s="7">
        <v>5</v>
      </c>
      <c r="G823" s="7">
        <v>5</v>
      </c>
      <c r="H823" s="7">
        <v>5</v>
      </c>
      <c r="I823" s="7">
        <v>5</v>
      </c>
      <c r="J823" s="8">
        <v>5</v>
      </c>
    </row>
    <row r="824" spans="1:10" hidden="1" x14ac:dyDescent="0.25">
      <c r="A824" s="6">
        <v>518516</v>
      </c>
      <c r="B824" s="7">
        <v>1</v>
      </c>
      <c r="C824" s="7">
        <v>696.04184808183595</v>
      </c>
      <c r="D824" s="7">
        <v>1</v>
      </c>
      <c r="E824" s="1">
        <v>3</v>
      </c>
      <c r="F824" s="7">
        <v>5</v>
      </c>
      <c r="G824" s="7">
        <v>5</v>
      </c>
      <c r="H824" s="7">
        <v>5</v>
      </c>
      <c r="I824" s="7">
        <v>5</v>
      </c>
      <c r="J824" s="8">
        <v>5</v>
      </c>
    </row>
    <row r="825" spans="1:10" hidden="1" x14ac:dyDescent="0.25">
      <c r="A825" s="6">
        <v>518520</v>
      </c>
      <c r="B825" s="7">
        <v>1</v>
      </c>
      <c r="C825" s="7">
        <v>406.23308133262202</v>
      </c>
      <c r="D825" s="7">
        <v>4</v>
      </c>
      <c r="E825" s="1">
        <v>4</v>
      </c>
      <c r="F825" s="7">
        <v>5</v>
      </c>
      <c r="G825" s="7">
        <v>5</v>
      </c>
      <c r="H825" s="7">
        <v>5</v>
      </c>
      <c r="I825" s="7">
        <v>5</v>
      </c>
      <c r="J825" s="8">
        <v>5</v>
      </c>
    </row>
    <row r="826" spans="1:10" x14ac:dyDescent="0.25">
      <c r="A826" s="6">
        <v>518547</v>
      </c>
      <c r="B826" s="7">
        <v>2</v>
      </c>
      <c r="C826" s="7">
        <v>1757.29040365423</v>
      </c>
      <c r="D826" s="7">
        <v>6</v>
      </c>
      <c r="E826" s="1">
        <v>6</v>
      </c>
      <c r="F826" s="7">
        <v>5</v>
      </c>
      <c r="G826" s="7">
        <v>5</v>
      </c>
      <c r="H826" s="7">
        <v>5</v>
      </c>
      <c r="I826" s="7">
        <v>5</v>
      </c>
      <c r="J826" s="8">
        <v>5</v>
      </c>
    </row>
    <row r="827" spans="1:10" hidden="1" x14ac:dyDescent="0.25">
      <c r="A827" s="6">
        <v>518580</v>
      </c>
      <c r="B827" s="7">
        <v>2</v>
      </c>
      <c r="C827" s="7">
        <v>880.54759242713897</v>
      </c>
      <c r="D827" s="7">
        <v>7</v>
      </c>
      <c r="E827" s="1">
        <v>7</v>
      </c>
      <c r="F827" s="7">
        <v>5</v>
      </c>
      <c r="G827" s="7">
        <v>5</v>
      </c>
      <c r="H827" s="7">
        <v>5</v>
      </c>
      <c r="I827" s="7">
        <v>5</v>
      </c>
      <c r="J827" s="8">
        <v>5</v>
      </c>
    </row>
    <row r="828" spans="1:10" hidden="1" x14ac:dyDescent="0.25">
      <c r="A828" s="6">
        <v>518581</v>
      </c>
      <c r="B828" s="7">
        <v>2</v>
      </c>
      <c r="C828" s="7">
        <v>755.31727423383802</v>
      </c>
      <c r="D828" s="7">
        <v>5</v>
      </c>
      <c r="E828" s="1">
        <v>5</v>
      </c>
      <c r="F828" s="7">
        <v>5</v>
      </c>
      <c r="G828" s="7">
        <v>5</v>
      </c>
      <c r="H828" s="7">
        <v>5</v>
      </c>
      <c r="I828" s="7">
        <v>5</v>
      </c>
      <c r="J828" s="8">
        <v>5</v>
      </c>
    </row>
    <row r="829" spans="1:10" hidden="1" x14ac:dyDescent="0.25">
      <c r="A829" s="6">
        <v>518583</v>
      </c>
      <c r="B829" s="7">
        <v>1</v>
      </c>
      <c r="C829" s="7">
        <v>799.79351786817006</v>
      </c>
      <c r="D829" s="7">
        <v>4</v>
      </c>
      <c r="E829" s="1">
        <v>4</v>
      </c>
      <c r="F829" s="7">
        <v>5</v>
      </c>
      <c r="G829" s="7">
        <v>5</v>
      </c>
      <c r="H829" s="7">
        <v>5</v>
      </c>
      <c r="I829" s="7">
        <v>5</v>
      </c>
      <c r="J829" s="8">
        <v>5</v>
      </c>
    </row>
    <row r="830" spans="1:10" hidden="1" x14ac:dyDescent="0.25">
      <c r="A830" s="6">
        <v>518609</v>
      </c>
      <c r="B830" s="7">
        <v>2</v>
      </c>
      <c r="C830" s="7">
        <v>45.648438745992102</v>
      </c>
      <c r="D830" s="7">
        <v>5</v>
      </c>
      <c r="E830" s="1">
        <v>6</v>
      </c>
      <c r="F830" s="7">
        <v>5</v>
      </c>
      <c r="G830" s="7">
        <v>5</v>
      </c>
      <c r="H830" s="7">
        <v>5</v>
      </c>
      <c r="I830" s="7">
        <v>5</v>
      </c>
      <c r="J830" s="8">
        <v>5</v>
      </c>
    </row>
    <row r="831" spans="1:10" hidden="1" x14ac:dyDescent="0.25">
      <c r="A831" s="6">
        <v>518610</v>
      </c>
      <c r="B831" s="7">
        <v>2</v>
      </c>
      <c r="C831" s="7">
        <v>116.897656098468</v>
      </c>
      <c r="D831" s="7">
        <v>4</v>
      </c>
      <c r="E831" s="1">
        <v>4</v>
      </c>
      <c r="F831" s="7">
        <v>5</v>
      </c>
      <c r="G831" s="7">
        <v>5</v>
      </c>
      <c r="H831" s="7">
        <v>5</v>
      </c>
      <c r="I831" s="7">
        <v>5</v>
      </c>
      <c r="J831" s="8">
        <v>5</v>
      </c>
    </row>
    <row r="832" spans="1:10" hidden="1" x14ac:dyDescent="0.25">
      <c r="A832" s="6">
        <v>518645</v>
      </c>
      <c r="B832" s="7">
        <v>2</v>
      </c>
      <c r="C832" s="7">
        <v>71.874019954708302</v>
      </c>
      <c r="D832" s="7">
        <v>7</v>
      </c>
      <c r="E832" s="1">
        <v>9</v>
      </c>
      <c r="F832" s="7">
        <v>5</v>
      </c>
      <c r="G832" s="7">
        <v>5</v>
      </c>
      <c r="H832" s="7">
        <v>5</v>
      </c>
      <c r="I832" s="7">
        <v>5</v>
      </c>
      <c r="J832" s="8">
        <v>5</v>
      </c>
    </row>
    <row r="833" spans="1:10" hidden="1" x14ac:dyDescent="0.25">
      <c r="A833" s="6">
        <v>518681</v>
      </c>
      <c r="B833" s="7">
        <v>2</v>
      </c>
      <c r="C833" s="7">
        <v>266.17898206227801</v>
      </c>
      <c r="D833" s="7">
        <v>7</v>
      </c>
      <c r="E833" s="1">
        <v>7</v>
      </c>
      <c r="F833" s="7">
        <v>5</v>
      </c>
      <c r="G833" s="7">
        <v>5</v>
      </c>
      <c r="H833" s="7">
        <v>5</v>
      </c>
      <c r="I833" s="7">
        <v>5</v>
      </c>
      <c r="J833" s="8">
        <v>5</v>
      </c>
    </row>
    <row r="834" spans="1:10" x14ac:dyDescent="0.25">
      <c r="A834" s="6">
        <v>518686</v>
      </c>
      <c r="B834" s="7">
        <v>2</v>
      </c>
      <c r="C834" s="7">
        <v>375.63948179575902</v>
      </c>
      <c r="D834" s="7">
        <v>9</v>
      </c>
      <c r="E834" s="1">
        <v>9</v>
      </c>
      <c r="F834" s="7">
        <v>1</v>
      </c>
      <c r="G834" s="7">
        <v>5</v>
      </c>
      <c r="H834" s="7">
        <v>5</v>
      </c>
      <c r="I834" s="7">
        <v>5</v>
      </c>
      <c r="J834" s="8">
        <v>5</v>
      </c>
    </row>
    <row r="835" spans="1:10" x14ac:dyDescent="0.25">
      <c r="A835" s="6">
        <v>518706</v>
      </c>
      <c r="B835" s="7">
        <v>2</v>
      </c>
      <c r="C835" s="7">
        <v>799.68403229602598</v>
      </c>
      <c r="D835" s="7">
        <v>8</v>
      </c>
      <c r="E835" s="1">
        <v>8</v>
      </c>
      <c r="F835" s="7">
        <v>5</v>
      </c>
      <c r="G835" s="7">
        <v>5</v>
      </c>
      <c r="H835" s="7">
        <v>5</v>
      </c>
      <c r="I835" s="7">
        <v>5</v>
      </c>
      <c r="J835" s="8">
        <v>5</v>
      </c>
    </row>
    <row r="836" spans="1:10" hidden="1" x14ac:dyDescent="0.25">
      <c r="A836" s="6">
        <v>518708</v>
      </c>
      <c r="B836" s="7">
        <v>2</v>
      </c>
      <c r="C836" s="7">
        <v>440.30440360155802</v>
      </c>
      <c r="D836" s="7">
        <v>7</v>
      </c>
      <c r="E836" s="1">
        <v>8</v>
      </c>
      <c r="F836" s="7">
        <v>5</v>
      </c>
      <c r="G836" s="7">
        <v>5</v>
      </c>
      <c r="H836" s="7">
        <v>5</v>
      </c>
      <c r="I836" s="7">
        <v>5</v>
      </c>
      <c r="J836" s="8">
        <v>5</v>
      </c>
    </row>
    <row r="837" spans="1:10" hidden="1" x14ac:dyDescent="0.25">
      <c r="A837" s="6">
        <v>518718</v>
      </c>
      <c r="B837" s="7">
        <v>1</v>
      </c>
      <c r="C837" s="7">
        <v>1812.2505294684299</v>
      </c>
      <c r="D837" s="7">
        <v>5</v>
      </c>
      <c r="E837" s="1">
        <v>5</v>
      </c>
      <c r="F837" s="7">
        <v>5</v>
      </c>
      <c r="G837" s="7">
        <v>5</v>
      </c>
      <c r="H837" s="7">
        <v>5</v>
      </c>
      <c r="I837" s="7">
        <v>5</v>
      </c>
      <c r="J837" s="8">
        <v>5</v>
      </c>
    </row>
    <row r="838" spans="1:10" hidden="1" x14ac:dyDescent="0.25">
      <c r="A838" s="6">
        <v>518727</v>
      </c>
      <c r="B838" s="7">
        <v>2</v>
      </c>
      <c r="C838" s="7">
        <v>647.01860825114295</v>
      </c>
      <c r="D838" s="7">
        <v>7</v>
      </c>
      <c r="E838" s="1">
        <v>7</v>
      </c>
      <c r="F838" s="7">
        <v>5</v>
      </c>
      <c r="G838" s="7">
        <v>5</v>
      </c>
      <c r="H838" s="7">
        <v>5</v>
      </c>
      <c r="I838" s="7">
        <v>5</v>
      </c>
      <c r="J838" s="8">
        <v>5</v>
      </c>
    </row>
    <row r="839" spans="1:10" hidden="1" x14ac:dyDescent="0.25">
      <c r="A839" s="6">
        <v>518731</v>
      </c>
      <c r="B839" s="7">
        <v>2</v>
      </c>
      <c r="C839" s="7">
        <v>387.43650714445602</v>
      </c>
      <c r="D839" s="7">
        <v>5</v>
      </c>
      <c r="E839" s="1">
        <v>5</v>
      </c>
      <c r="F839" s="7">
        <v>5</v>
      </c>
      <c r="G839" s="7">
        <v>5</v>
      </c>
      <c r="H839" s="7">
        <v>5</v>
      </c>
      <c r="I839" s="7">
        <v>5</v>
      </c>
      <c r="J839" s="8">
        <v>5</v>
      </c>
    </row>
    <row r="840" spans="1:10" x14ac:dyDescent="0.25">
      <c r="A840" s="6">
        <v>518737</v>
      </c>
      <c r="B840" s="7">
        <v>2</v>
      </c>
      <c r="C840" s="7">
        <v>89.139651051312995</v>
      </c>
      <c r="D840" s="7">
        <v>8</v>
      </c>
      <c r="E840" s="1">
        <v>9</v>
      </c>
      <c r="F840" s="7">
        <v>5</v>
      </c>
      <c r="G840" s="7">
        <v>5</v>
      </c>
      <c r="H840" s="7">
        <v>5</v>
      </c>
      <c r="I840" s="7">
        <v>5</v>
      </c>
      <c r="J840" s="8">
        <v>5</v>
      </c>
    </row>
    <row r="841" spans="1:10" hidden="1" x14ac:dyDescent="0.25">
      <c r="A841" s="6">
        <v>518807</v>
      </c>
      <c r="B841" s="7">
        <v>1</v>
      </c>
      <c r="C841" s="7">
        <v>621.85884383195696</v>
      </c>
      <c r="D841" s="7">
        <v>5</v>
      </c>
      <c r="E841" s="1">
        <v>6</v>
      </c>
      <c r="F841" s="7">
        <v>5</v>
      </c>
      <c r="G841" s="7">
        <v>5</v>
      </c>
      <c r="H841" s="7">
        <v>5</v>
      </c>
      <c r="I841" s="7">
        <v>5</v>
      </c>
      <c r="J841" s="8">
        <v>5</v>
      </c>
    </row>
    <row r="842" spans="1:10" hidden="1" x14ac:dyDescent="0.25">
      <c r="A842" s="6">
        <v>518810</v>
      </c>
      <c r="B842" s="7">
        <v>2</v>
      </c>
      <c r="C842" s="7">
        <v>24.889363471243701</v>
      </c>
      <c r="D842" s="7">
        <v>2</v>
      </c>
      <c r="E842" s="1">
        <v>8</v>
      </c>
      <c r="F842" s="7">
        <v>5</v>
      </c>
      <c r="G842" s="7">
        <v>5</v>
      </c>
      <c r="H842" s="7">
        <v>5</v>
      </c>
      <c r="I842" s="7">
        <v>5</v>
      </c>
      <c r="J842" s="8">
        <v>5</v>
      </c>
    </row>
    <row r="843" spans="1:10" hidden="1" x14ac:dyDescent="0.25">
      <c r="A843" s="6">
        <v>518856</v>
      </c>
      <c r="B843" s="7">
        <v>2</v>
      </c>
      <c r="C843" s="7">
        <v>22.026628022846701</v>
      </c>
      <c r="D843" s="7">
        <v>7</v>
      </c>
      <c r="E843" s="1">
        <v>7</v>
      </c>
      <c r="F843" s="7">
        <v>5</v>
      </c>
      <c r="G843" s="7">
        <v>5</v>
      </c>
      <c r="H843" s="7">
        <v>5</v>
      </c>
      <c r="I843" s="7">
        <v>5</v>
      </c>
      <c r="J843" s="8">
        <v>5</v>
      </c>
    </row>
    <row r="844" spans="1:10" hidden="1" x14ac:dyDescent="0.25">
      <c r="A844" s="6">
        <v>518875</v>
      </c>
      <c r="B844" s="7">
        <v>2</v>
      </c>
      <c r="C844" s="7">
        <v>643.62292744120703</v>
      </c>
      <c r="D844" s="7">
        <v>5</v>
      </c>
      <c r="E844" s="1">
        <v>5</v>
      </c>
      <c r="F844" s="7">
        <v>5</v>
      </c>
      <c r="G844" s="7">
        <v>5</v>
      </c>
      <c r="H844" s="7">
        <v>5</v>
      </c>
      <c r="I844" s="7">
        <v>5</v>
      </c>
      <c r="J844" s="8">
        <v>5</v>
      </c>
    </row>
    <row r="845" spans="1:10" hidden="1" x14ac:dyDescent="0.25">
      <c r="A845" s="6">
        <v>518914</v>
      </c>
      <c r="B845" s="7">
        <v>2</v>
      </c>
      <c r="C845" s="7">
        <v>445.330364974323</v>
      </c>
      <c r="D845" s="7">
        <v>4</v>
      </c>
      <c r="E845" s="1">
        <v>4</v>
      </c>
      <c r="F845" s="7">
        <v>5</v>
      </c>
      <c r="G845" s="7">
        <v>5</v>
      </c>
      <c r="H845" s="7">
        <v>5</v>
      </c>
      <c r="I845" s="7">
        <v>5</v>
      </c>
      <c r="J845" s="8">
        <v>5</v>
      </c>
    </row>
    <row r="846" spans="1:10" hidden="1" x14ac:dyDescent="0.25">
      <c r="A846" s="6">
        <v>518921</v>
      </c>
      <c r="B846" s="7">
        <v>2</v>
      </c>
      <c r="C846" s="7">
        <v>198.331507947566</v>
      </c>
      <c r="D846" s="7">
        <v>7</v>
      </c>
      <c r="E846" s="1">
        <v>7</v>
      </c>
      <c r="F846" s="7">
        <v>5</v>
      </c>
      <c r="G846" s="7">
        <v>5</v>
      </c>
      <c r="H846" s="7">
        <v>5</v>
      </c>
      <c r="I846" s="7">
        <v>5</v>
      </c>
      <c r="J846" s="8">
        <v>5</v>
      </c>
    </row>
    <row r="847" spans="1:10" hidden="1" x14ac:dyDescent="0.25">
      <c r="A847" s="6">
        <v>518923</v>
      </c>
      <c r="B847" s="7">
        <v>2</v>
      </c>
      <c r="C847" s="7">
        <v>105.16773620283401</v>
      </c>
      <c r="D847" s="7">
        <v>5</v>
      </c>
      <c r="E847" s="1">
        <v>5</v>
      </c>
      <c r="F847" s="7">
        <v>1</v>
      </c>
      <c r="G847" s="7">
        <v>5</v>
      </c>
      <c r="H847" s="7">
        <v>1</v>
      </c>
      <c r="I847" s="7">
        <v>5</v>
      </c>
      <c r="J847" s="8">
        <v>1</v>
      </c>
    </row>
    <row r="848" spans="1:10" hidden="1" x14ac:dyDescent="0.25">
      <c r="A848" s="6">
        <v>518925</v>
      </c>
      <c r="B848" s="7">
        <v>1</v>
      </c>
      <c r="C848" s="7">
        <v>327.99675478566297</v>
      </c>
      <c r="D848" s="7">
        <v>5</v>
      </c>
      <c r="E848" s="1">
        <v>5</v>
      </c>
      <c r="F848" s="7">
        <v>5</v>
      </c>
      <c r="G848" s="7">
        <v>5</v>
      </c>
      <c r="H848" s="7">
        <v>5</v>
      </c>
      <c r="I848" s="7">
        <v>5</v>
      </c>
      <c r="J848" s="8">
        <v>5</v>
      </c>
    </row>
    <row r="849" spans="1:10" hidden="1" x14ac:dyDescent="0.25">
      <c r="A849" s="6">
        <v>518952</v>
      </c>
      <c r="B849" s="7">
        <v>1</v>
      </c>
      <c r="C849" s="7">
        <v>863.43631265475005</v>
      </c>
      <c r="D849" s="7">
        <v>2</v>
      </c>
      <c r="E849" s="1">
        <v>7</v>
      </c>
      <c r="F849" s="7">
        <v>5</v>
      </c>
      <c r="G849" s="7">
        <v>5</v>
      </c>
      <c r="H849" s="7">
        <v>5</v>
      </c>
      <c r="I849" s="7">
        <v>5</v>
      </c>
      <c r="J849" s="8">
        <v>5</v>
      </c>
    </row>
    <row r="850" spans="1:10" hidden="1" x14ac:dyDescent="0.25">
      <c r="A850" s="6">
        <v>518960</v>
      </c>
      <c r="B850" s="7">
        <v>2</v>
      </c>
      <c r="C850" s="7">
        <v>137.163349648072</v>
      </c>
      <c r="D850" s="7">
        <v>7</v>
      </c>
      <c r="E850" s="1">
        <v>7</v>
      </c>
      <c r="F850" s="7">
        <v>5</v>
      </c>
      <c r="G850" s="7">
        <v>5</v>
      </c>
      <c r="H850" s="7">
        <v>5</v>
      </c>
      <c r="I850" s="7">
        <v>5</v>
      </c>
      <c r="J850" s="8">
        <v>5</v>
      </c>
    </row>
    <row r="851" spans="1:10" x14ac:dyDescent="0.25">
      <c r="A851" s="6">
        <v>518966</v>
      </c>
      <c r="B851" s="7">
        <v>2</v>
      </c>
      <c r="C851" s="7">
        <v>296.98556551499303</v>
      </c>
      <c r="D851" s="7">
        <v>9</v>
      </c>
      <c r="E851" s="1">
        <v>9</v>
      </c>
      <c r="F851" s="7">
        <v>5</v>
      </c>
      <c r="G851" s="7">
        <v>5</v>
      </c>
      <c r="H851" s="7">
        <v>5</v>
      </c>
      <c r="I851" s="7">
        <v>5</v>
      </c>
      <c r="J851" s="8">
        <v>5</v>
      </c>
    </row>
    <row r="852" spans="1:10" hidden="1" x14ac:dyDescent="0.25">
      <c r="A852" s="6">
        <v>518977</v>
      </c>
      <c r="B852" s="7">
        <v>2</v>
      </c>
      <c r="C852" s="7">
        <v>554.95292710186197</v>
      </c>
      <c r="D852" s="7">
        <v>7</v>
      </c>
      <c r="E852" s="1">
        <v>7</v>
      </c>
      <c r="F852" s="7">
        <v>5</v>
      </c>
      <c r="G852" s="7">
        <v>5</v>
      </c>
      <c r="H852" s="7">
        <v>5</v>
      </c>
      <c r="I852" s="7">
        <v>5</v>
      </c>
      <c r="J852" s="8">
        <v>5</v>
      </c>
    </row>
    <row r="853" spans="1:10" hidden="1" x14ac:dyDescent="0.25">
      <c r="A853" s="6">
        <v>518980</v>
      </c>
      <c r="B853" s="7">
        <v>1</v>
      </c>
      <c r="C853" s="7">
        <v>1397.7316887986899</v>
      </c>
      <c r="D853" s="7">
        <v>5</v>
      </c>
      <c r="E853" s="1">
        <v>5</v>
      </c>
      <c r="F853" s="7">
        <v>5</v>
      </c>
      <c r="G853" s="7">
        <v>5</v>
      </c>
      <c r="H853" s="7">
        <v>5</v>
      </c>
      <c r="I853" s="7">
        <v>5</v>
      </c>
      <c r="J853" s="8">
        <v>5</v>
      </c>
    </row>
    <row r="854" spans="1:10" hidden="1" x14ac:dyDescent="0.25">
      <c r="A854" s="6">
        <v>518981</v>
      </c>
      <c r="B854" s="7">
        <v>2</v>
      </c>
      <c r="C854" s="7">
        <v>681.54173901689796</v>
      </c>
      <c r="D854" s="7">
        <v>7</v>
      </c>
      <c r="E854" s="1">
        <v>7</v>
      </c>
      <c r="F854" s="7">
        <v>5</v>
      </c>
      <c r="G854" s="7">
        <v>5</v>
      </c>
      <c r="H854" s="7">
        <v>5</v>
      </c>
      <c r="I854" s="7">
        <v>5</v>
      </c>
      <c r="J854" s="8">
        <v>5</v>
      </c>
    </row>
    <row r="855" spans="1:10" hidden="1" x14ac:dyDescent="0.25">
      <c r="A855" s="6">
        <v>518986</v>
      </c>
      <c r="B855" s="7">
        <v>1</v>
      </c>
      <c r="C855" s="7">
        <v>1433.6515365277801</v>
      </c>
      <c r="D855" s="7">
        <v>4</v>
      </c>
      <c r="E855" s="1">
        <v>4</v>
      </c>
      <c r="F855" s="7">
        <v>5</v>
      </c>
      <c r="G855" s="7">
        <v>5</v>
      </c>
      <c r="H855" s="7">
        <v>5</v>
      </c>
      <c r="I855" s="7">
        <v>5</v>
      </c>
      <c r="J855" s="8">
        <v>5</v>
      </c>
    </row>
    <row r="856" spans="1:10" hidden="1" x14ac:dyDescent="0.25">
      <c r="A856" s="6">
        <v>518996</v>
      </c>
      <c r="B856" s="7">
        <v>1</v>
      </c>
      <c r="C856" s="7">
        <v>790.62941233229606</v>
      </c>
      <c r="D856" s="7">
        <v>4</v>
      </c>
      <c r="E856" s="1">
        <v>4</v>
      </c>
      <c r="F856" s="7">
        <v>5</v>
      </c>
      <c r="G856" s="7">
        <v>5</v>
      </c>
      <c r="H856" s="7">
        <v>5</v>
      </c>
      <c r="I856" s="7">
        <v>5</v>
      </c>
      <c r="J856" s="8">
        <v>5</v>
      </c>
    </row>
    <row r="857" spans="1:10" hidden="1" x14ac:dyDescent="0.25">
      <c r="A857" s="6">
        <v>519017</v>
      </c>
      <c r="B857" s="7">
        <v>2</v>
      </c>
      <c r="C857" s="7">
        <v>1371.5770576110499</v>
      </c>
      <c r="D857" s="7">
        <v>7</v>
      </c>
      <c r="E857" s="1">
        <v>7</v>
      </c>
      <c r="F857" s="7">
        <v>5</v>
      </c>
      <c r="G857" s="7">
        <v>5</v>
      </c>
      <c r="H857" s="7">
        <v>5</v>
      </c>
      <c r="I857" s="7">
        <v>5</v>
      </c>
      <c r="J857" s="8">
        <v>5</v>
      </c>
    </row>
    <row r="858" spans="1:10" hidden="1" x14ac:dyDescent="0.25">
      <c r="A858" s="6">
        <v>519049</v>
      </c>
      <c r="B858" s="7">
        <v>2</v>
      </c>
      <c r="C858" s="7">
        <v>153.855037041391</v>
      </c>
      <c r="D858" s="7">
        <v>2</v>
      </c>
      <c r="E858" s="1">
        <v>8</v>
      </c>
      <c r="F858" s="7">
        <v>5</v>
      </c>
      <c r="G858" s="7">
        <v>5</v>
      </c>
      <c r="H858" s="7">
        <v>5</v>
      </c>
      <c r="I858" s="7">
        <v>5</v>
      </c>
      <c r="J858" s="8">
        <v>5</v>
      </c>
    </row>
    <row r="859" spans="1:10" hidden="1" x14ac:dyDescent="0.25">
      <c r="A859" s="6">
        <v>519078</v>
      </c>
      <c r="B859" s="7">
        <v>2</v>
      </c>
      <c r="C859" s="7">
        <v>373.78534120743302</v>
      </c>
      <c r="D859" s="7">
        <v>5</v>
      </c>
      <c r="E859" s="1">
        <v>5</v>
      </c>
      <c r="F859" s="7">
        <v>5</v>
      </c>
      <c r="G859" s="7">
        <v>5</v>
      </c>
      <c r="H859" s="7">
        <v>5</v>
      </c>
      <c r="I859" s="7">
        <v>5</v>
      </c>
      <c r="J859" s="8">
        <v>5</v>
      </c>
    </row>
    <row r="860" spans="1:10" hidden="1" x14ac:dyDescent="0.25">
      <c r="A860" s="6">
        <v>519096</v>
      </c>
      <c r="B860" s="7">
        <v>1</v>
      </c>
      <c r="C860" s="7">
        <v>1590.72009157655</v>
      </c>
      <c r="D860" s="7">
        <v>5</v>
      </c>
      <c r="E860" s="1">
        <v>5</v>
      </c>
      <c r="F860" s="7">
        <v>5</v>
      </c>
      <c r="G860" s="7">
        <v>5</v>
      </c>
      <c r="H860" s="7">
        <v>5</v>
      </c>
      <c r="I860" s="7">
        <v>5</v>
      </c>
      <c r="J860" s="8">
        <v>5</v>
      </c>
    </row>
    <row r="861" spans="1:10" hidden="1" x14ac:dyDescent="0.25">
      <c r="A861" s="6">
        <v>519101</v>
      </c>
      <c r="B861" s="7">
        <v>1</v>
      </c>
      <c r="C861" s="7">
        <v>569.55739527954597</v>
      </c>
      <c r="D861" s="7">
        <v>3</v>
      </c>
      <c r="E861" s="1">
        <v>3</v>
      </c>
      <c r="F861" s="7">
        <v>5</v>
      </c>
      <c r="G861" s="7">
        <v>5</v>
      </c>
      <c r="H861" s="7">
        <v>5</v>
      </c>
      <c r="I861" s="7">
        <v>5</v>
      </c>
      <c r="J861" s="8">
        <v>5</v>
      </c>
    </row>
    <row r="862" spans="1:10" x14ac:dyDescent="0.25">
      <c r="A862" s="6">
        <v>519103</v>
      </c>
      <c r="B862" s="7">
        <v>2</v>
      </c>
      <c r="C862" s="7">
        <v>357.01736613988601</v>
      </c>
      <c r="D862" s="7">
        <v>9</v>
      </c>
      <c r="E862" s="1">
        <v>9</v>
      </c>
      <c r="F862" s="7">
        <v>1</v>
      </c>
      <c r="G862" s="7">
        <v>1</v>
      </c>
      <c r="H862" s="7">
        <v>1</v>
      </c>
      <c r="I862" s="7">
        <v>5</v>
      </c>
      <c r="J862" s="8">
        <v>5</v>
      </c>
    </row>
    <row r="863" spans="1:10" x14ac:dyDescent="0.25">
      <c r="A863" s="6">
        <v>519104</v>
      </c>
      <c r="B863" s="7">
        <v>2</v>
      </c>
      <c r="C863" s="7">
        <v>961.03055190695397</v>
      </c>
      <c r="D863" s="7">
        <v>9</v>
      </c>
      <c r="E863" s="1">
        <v>8</v>
      </c>
      <c r="F863" s="7">
        <v>5</v>
      </c>
      <c r="G863" s="7">
        <v>5</v>
      </c>
      <c r="H863" s="7">
        <v>5</v>
      </c>
      <c r="I863" s="7">
        <v>5</v>
      </c>
      <c r="J863" s="8">
        <v>5</v>
      </c>
    </row>
    <row r="864" spans="1:10" hidden="1" x14ac:dyDescent="0.25">
      <c r="A864" s="6">
        <v>519206</v>
      </c>
      <c r="B864" s="7">
        <v>2</v>
      </c>
      <c r="C864" s="7">
        <v>29.245098669135601</v>
      </c>
      <c r="D864" s="7">
        <v>7</v>
      </c>
      <c r="E864" s="1">
        <v>9</v>
      </c>
      <c r="F864" s="7">
        <v>5</v>
      </c>
      <c r="G864" s="7">
        <v>5</v>
      </c>
      <c r="H864" s="7">
        <v>5</v>
      </c>
      <c r="I864" s="7">
        <v>5</v>
      </c>
      <c r="J864" s="8">
        <v>5</v>
      </c>
    </row>
    <row r="865" spans="1:10" x14ac:dyDescent="0.25">
      <c r="A865" s="6">
        <v>519214</v>
      </c>
      <c r="B865" s="7">
        <v>2</v>
      </c>
      <c r="C865" s="7">
        <v>390.331636866574</v>
      </c>
      <c r="D865" s="7">
        <v>9</v>
      </c>
      <c r="E865" s="1">
        <v>9</v>
      </c>
      <c r="F865" s="7">
        <v>5</v>
      </c>
      <c r="G865" s="7">
        <v>5</v>
      </c>
      <c r="H865" s="7">
        <v>5</v>
      </c>
      <c r="I865" s="7">
        <v>5</v>
      </c>
      <c r="J865" s="8">
        <v>5</v>
      </c>
    </row>
    <row r="866" spans="1:10" hidden="1" x14ac:dyDescent="0.25">
      <c r="A866" s="6">
        <v>519224</v>
      </c>
      <c r="B866" s="7">
        <v>2</v>
      </c>
      <c r="C866" s="7">
        <v>254.946491019261</v>
      </c>
      <c r="D866" s="7">
        <v>7</v>
      </c>
      <c r="E866" s="1">
        <v>7</v>
      </c>
      <c r="F866" s="7">
        <v>5</v>
      </c>
      <c r="G866" s="7">
        <v>5</v>
      </c>
      <c r="H866" s="7">
        <v>5</v>
      </c>
      <c r="I866" s="7">
        <v>5</v>
      </c>
      <c r="J866" s="8">
        <v>5</v>
      </c>
    </row>
    <row r="867" spans="1:10" hidden="1" x14ac:dyDescent="0.25">
      <c r="A867" s="6">
        <v>519226</v>
      </c>
      <c r="B867" s="7">
        <v>2</v>
      </c>
      <c r="C867" s="7">
        <v>393.30802585887602</v>
      </c>
      <c r="D867" s="7">
        <v>4</v>
      </c>
      <c r="E867" s="1">
        <v>4</v>
      </c>
      <c r="F867" s="7">
        <v>5</v>
      </c>
      <c r="G867" s="7">
        <v>5</v>
      </c>
      <c r="H867" s="7">
        <v>5</v>
      </c>
      <c r="I867" s="7">
        <v>5</v>
      </c>
      <c r="J867" s="8">
        <v>5</v>
      </c>
    </row>
    <row r="868" spans="1:10" hidden="1" x14ac:dyDescent="0.25">
      <c r="A868" s="6">
        <v>519309</v>
      </c>
      <c r="B868" s="7">
        <v>2</v>
      </c>
      <c r="C868" s="7">
        <v>101.32580787791601</v>
      </c>
      <c r="D868" s="7">
        <v>7</v>
      </c>
      <c r="E868" s="1">
        <v>7</v>
      </c>
      <c r="F868" s="7">
        <v>5</v>
      </c>
      <c r="G868" s="7">
        <v>5</v>
      </c>
      <c r="H868" s="7">
        <v>5</v>
      </c>
      <c r="I868" s="7">
        <v>5</v>
      </c>
      <c r="J868" s="8">
        <v>5</v>
      </c>
    </row>
    <row r="869" spans="1:10" hidden="1" x14ac:dyDescent="0.25">
      <c r="A869" s="6">
        <v>519337</v>
      </c>
      <c r="B869" s="7">
        <v>2</v>
      </c>
      <c r="C869" s="7">
        <v>594.91243672902203</v>
      </c>
      <c r="D869" s="7">
        <v>7</v>
      </c>
      <c r="E869" s="1">
        <v>7</v>
      </c>
      <c r="F869" s="7">
        <v>5</v>
      </c>
      <c r="G869" s="7">
        <v>5</v>
      </c>
      <c r="H869" s="7">
        <v>5</v>
      </c>
      <c r="I869" s="7">
        <v>5</v>
      </c>
      <c r="J869" s="8">
        <v>5</v>
      </c>
    </row>
    <row r="870" spans="1:10" hidden="1" x14ac:dyDescent="0.25">
      <c r="A870" s="6">
        <v>519352</v>
      </c>
      <c r="B870" s="7">
        <v>1</v>
      </c>
      <c r="C870" s="7">
        <v>1538.9792320858701</v>
      </c>
      <c r="D870" s="7">
        <v>7</v>
      </c>
      <c r="E870" s="1">
        <v>7</v>
      </c>
      <c r="F870" s="7">
        <v>5</v>
      </c>
      <c r="G870" s="7">
        <v>5</v>
      </c>
      <c r="H870" s="7">
        <v>5</v>
      </c>
      <c r="I870" s="7">
        <v>5</v>
      </c>
      <c r="J870" s="8">
        <v>5</v>
      </c>
    </row>
    <row r="871" spans="1:10" hidden="1" x14ac:dyDescent="0.25">
      <c r="A871" s="6">
        <v>519376</v>
      </c>
      <c r="B871" s="7">
        <v>2</v>
      </c>
      <c r="C871" s="7">
        <v>623.78485868147004</v>
      </c>
      <c r="D871" s="7">
        <v>7</v>
      </c>
      <c r="E871" s="1">
        <v>7</v>
      </c>
      <c r="F871" s="7">
        <v>5</v>
      </c>
      <c r="G871" s="7">
        <v>5</v>
      </c>
      <c r="H871" s="7">
        <v>5</v>
      </c>
      <c r="I871" s="7">
        <v>5</v>
      </c>
      <c r="J871" s="8">
        <v>5</v>
      </c>
    </row>
    <row r="872" spans="1:10" hidden="1" x14ac:dyDescent="0.25">
      <c r="A872" s="6">
        <v>519427</v>
      </c>
      <c r="B872" s="7">
        <v>1</v>
      </c>
      <c r="C872" s="7">
        <v>637.45917244620296</v>
      </c>
      <c r="D872" s="7">
        <v>2</v>
      </c>
      <c r="E872" s="1">
        <v>5</v>
      </c>
      <c r="F872" s="7">
        <v>5</v>
      </c>
      <c r="G872" s="7">
        <v>5</v>
      </c>
      <c r="H872" s="7">
        <v>5</v>
      </c>
      <c r="I872" s="7">
        <v>5</v>
      </c>
      <c r="J872" s="8">
        <v>5</v>
      </c>
    </row>
    <row r="873" spans="1:10" hidden="1" x14ac:dyDescent="0.25">
      <c r="A873" s="6">
        <v>519438</v>
      </c>
      <c r="B873" s="7">
        <v>2</v>
      </c>
      <c r="C873" s="7">
        <v>425.52628544543097</v>
      </c>
      <c r="D873" s="7">
        <v>7</v>
      </c>
      <c r="E873" s="1">
        <v>7</v>
      </c>
      <c r="F873" s="7">
        <v>5</v>
      </c>
      <c r="G873" s="7">
        <v>5</v>
      </c>
      <c r="H873" s="7">
        <v>5</v>
      </c>
      <c r="I873" s="7">
        <v>5</v>
      </c>
      <c r="J873" s="8">
        <v>5</v>
      </c>
    </row>
    <row r="874" spans="1:10" hidden="1" x14ac:dyDescent="0.25">
      <c r="A874" s="6">
        <v>519450</v>
      </c>
      <c r="B874" s="7">
        <v>1</v>
      </c>
      <c r="C874" s="7">
        <v>450.479722637267</v>
      </c>
      <c r="D874" s="7">
        <v>5</v>
      </c>
      <c r="E874" s="1">
        <v>5</v>
      </c>
      <c r="F874" s="7">
        <v>5</v>
      </c>
      <c r="G874" s="7">
        <v>5</v>
      </c>
      <c r="H874" s="7">
        <v>5</v>
      </c>
      <c r="I874" s="7">
        <v>5</v>
      </c>
      <c r="J874" s="8">
        <v>5</v>
      </c>
    </row>
    <row r="875" spans="1:10" hidden="1" x14ac:dyDescent="0.25">
      <c r="A875" s="6">
        <v>519499</v>
      </c>
      <c r="B875" s="7">
        <v>2</v>
      </c>
      <c r="C875" s="7">
        <v>374.759660512945</v>
      </c>
      <c r="D875" s="7">
        <v>3</v>
      </c>
      <c r="E875" s="1">
        <v>3</v>
      </c>
      <c r="F875" s="7">
        <v>5</v>
      </c>
      <c r="G875" s="7">
        <v>5</v>
      </c>
      <c r="H875" s="7">
        <v>5</v>
      </c>
      <c r="I875" s="7">
        <v>5</v>
      </c>
      <c r="J875" s="8">
        <v>5</v>
      </c>
    </row>
    <row r="876" spans="1:10" hidden="1" x14ac:dyDescent="0.25">
      <c r="A876" s="6">
        <v>519510</v>
      </c>
      <c r="B876" s="7">
        <v>1</v>
      </c>
      <c r="C876" s="7">
        <v>387.10066956988197</v>
      </c>
      <c r="D876" s="7">
        <v>5</v>
      </c>
      <c r="E876" s="1">
        <v>5</v>
      </c>
      <c r="F876" s="7">
        <v>5</v>
      </c>
      <c r="G876" s="7">
        <v>5</v>
      </c>
      <c r="H876" s="7">
        <v>5</v>
      </c>
      <c r="I876" s="7">
        <v>5</v>
      </c>
      <c r="J876" s="8">
        <v>5</v>
      </c>
    </row>
    <row r="877" spans="1:10" x14ac:dyDescent="0.25">
      <c r="A877" s="6">
        <v>519526</v>
      </c>
      <c r="B877" s="7">
        <v>2</v>
      </c>
      <c r="C877" s="7">
        <v>659.79854936837205</v>
      </c>
      <c r="D877" s="7">
        <v>9</v>
      </c>
      <c r="E877" s="1">
        <v>9</v>
      </c>
      <c r="F877" s="7">
        <v>5</v>
      </c>
      <c r="G877" s="7">
        <v>5</v>
      </c>
      <c r="H877" s="7">
        <v>5</v>
      </c>
      <c r="I877" s="7">
        <v>5</v>
      </c>
      <c r="J877" s="8">
        <v>5</v>
      </c>
    </row>
    <row r="878" spans="1:10" x14ac:dyDescent="0.25">
      <c r="A878" s="6">
        <v>519527</v>
      </c>
      <c r="B878" s="7">
        <v>2</v>
      </c>
      <c r="C878" s="7">
        <v>109.65320839400501</v>
      </c>
      <c r="D878" s="7">
        <v>8</v>
      </c>
      <c r="E878" s="1">
        <v>8</v>
      </c>
      <c r="F878" s="7">
        <v>5</v>
      </c>
      <c r="G878" s="7">
        <v>5</v>
      </c>
      <c r="H878" s="7">
        <v>5</v>
      </c>
      <c r="I878" s="7">
        <v>5</v>
      </c>
      <c r="J878" s="8">
        <v>5</v>
      </c>
    </row>
    <row r="879" spans="1:10" hidden="1" x14ac:dyDescent="0.25">
      <c r="A879" s="6">
        <v>519583</v>
      </c>
      <c r="B879" s="7">
        <v>1</v>
      </c>
      <c r="C879" s="7">
        <v>751.62175579645304</v>
      </c>
      <c r="D879" s="7">
        <v>2</v>
      </c>
      <c r="E879" s="1">
        <v>5</v>
      </c>
      <c r="F879" s="7">
        <v>5</v>
      </c>
      <c r="G879" s="7">
        <v>5</v>
      </c>
      <c r="H879" s="7">
        <v>5</v>
      </c>
      <c r="I879" s="7">
        <v>5</v>
      </c>
      <c r="J879" s="8">
        <v>5</v>
      </c>
    </row>
    <row r="880" spans="1:10" hidden="1" x14ac:dyDescent="0.25">
      <c r="A880" s="6">
        <v>519606</v>
      </c>
      <c r="B880" s="7">
        <v>2</v>
      </c>
      <c r="C880" s="7">
        <v>538.78345383121405</v>
      </c>
      <c r="D880" s="7">
        <v>7</v>
      </c>
      <c r="E880" s="1">
        <v>7</v>
      </c>
      <c r="F880" s="7">
        <v>5</v>
      </c>
      <c r="G880" s="7">
        <v>5</v>
      </c>
      <c r="H880" s="7">
        <v>5</v>
      </c>
      <c r="I880" s="7">
        <v>5</v>
      </c>
      <c r="J880" s="8">
        <v>5</v>
      </c>
    </row>
    <row r="881" spans="1:10" hidden="1" x14ac:dyDescent="0.25">
      <c r="A881" s="6">
        <v>519652</v>
      </c>
      <c r="B881" s="7">
        <v>1</v>
      </c>
      <c r="C881" s="7">
        <v>442.43045377172302</v>
      </c>
      <c r="D881" s="7">
        <v>3</v>
      </c>
      <c r="E881" s="1">
        <v>3</v>
      </c>
      <c r="F881" s="7">
        <v>5</v>
      </c>
      <c r="G881" s="7">
        <v>5</v>
      </c>
      <c r="H881" s="7">
        <v>5</v>
      </c>
      <c r="I881" s="7">
        <v>5</v>
      </c>
      <c r="J881" s="8">
        <v>5</v>
      </c>
    </row>
    <row r="882" spans="1:10" hidden="1" x14ac:dyDescent="0.25">
      <c r="A882" s="6">
        <v>519701</v>
      </c>
      <c r="B882" s="7">
        <v>2</v>
      </c>
      <c r="C882" s="7">
        <v>448.31577735026201</v>
      </c>
      <c r="D882" s="7">
        <v>7</v>
      </c>
      <c r="E882" s="1">
        <v>9</v>
      </c>
      <c r="F882" s="7">
        <v>5</v>
      </c>
      <c r="G882" s="7">
        <v>5</v>
      </c>
      <c r="H882" s="7">
        <v>5</v>
      </c>
      <c r="I882" s="7">
        <v>5</v>
      </c>
      <c r="J882" s="8">
        <v>5</v>
      </c>
    </row>
    <row r="883" spans="1:10" hidden="1" x14ac:dyDescent="0.25">
      <c r="A883" s="6">
        <v>519712</v>
      </c>
      <c r="B883" s="7">
        <v>1</v>
      </c>
      <c r="C883" s="7">
        <v>1571.83417104265</v>
      </c>
      <c r="D883" s="7">
        <v>5</v>
      </c>
      <c r="E883" s="1">
        <v>5</v>
      </c>
      <c r="F883" s="7">
        <v>5</v>
      </c>
      <c r="G883" s="7">
        <v>5</v>
      </c>
      <c r="H883" s="7">
        <v>5</v>
      </c>
      <c r="I883" s="7">
        <v>5</v>
      </c>
      <c r="J883" s="8">
        <v>5</v>
      </c>
    </row>
    <row r="884" spans="1:10" hidden="1" x14ac:dyDescent="0.25">
      <c r="A884" s="6">
        <v>519717</v>
      </c>
      <c r="B884" s="7">
        <v>2</v>
      </c>
      <c r="C884" s="7">
        <v>526.323910241882</v>
      </c>
      <c r="D884" s="7">
        <v>7</v>
      </c>
      <c r="E884" s="1">
        <v>7</v>
      </c>
      <c r="F884" s="7">
        <v>5</v>
      </c>
      <c r="G884" s="7">
        <v>5</v>
      </c>
      <c r="H884" s="7">
        <v>5</v>
      </c>
      <c r="I884" s="7">
        <v>5</v>
      </c>
      <c r="J884" s="8">
        <v>5</v>
      </c>
    </row>
    <row r="885" spans="1:10" x14ac:dyDescent="0.25">
      <c r="A885" s="6">
        <v>519989</v>
      </c>
      <c r="B885" s="7">
        <v>2</v>
      </c>
      <c r="C885" s="7">
        <v>340.73511236986002</v>
      </c>
      <c r="D885" s="7">
        <v>8</v>
      </c>
      <c r="E885" s="1">
        <v>8</v>
      </c>
      <c r="F885" s="7">
        <v>5</v>
      </c>
      <c r="G885" s="7">
        <v>5</v>
      </c>
      <c r="H885" s="7">
        <v>5</v>
      </c>
      <c r="I885" s="7">
        <v>5</v>
      </c>
      <c r="J885" s="8">
        <v>5</v>
      </c>
    </row>
    <row r="886" spans="1:10" x14ac:dyDescent="0.25">
      <c r="A886" s="6">
        <v>520056</v>
      </c>
      <c r="B886" s="7">
        <v>2</v>
      </c>
      <c r="C886" s="7">
        <v>773.07249153900602</v>
      </c>
      <c r="D886" s="7">
        <v>6</v>
      </c>
      <c r="E886" s="1">
        <v>3</v>
      </c>
      <c r="F886" s="7">
        <v>5</v>
      </c>
      <c r="G886" s="7">
        <v>5</v>
      </c>
      <c r="H886" s="7">
        <v>5</v>
      </c>
      <c r="I886" s="7">
        <v>5</v>
      </c>
      <c r="J886" s="8">
        <v>5</v>
      </c>
    </row>
    <row r="887" spans="1:10" hidden="1" x14ac:dyDescent="0.25">
      <c r="A887" s="6">
        <v>520079</v>
      </c>
      <c r="B887" s="7">
        <v>1</v>
      </c>
      <c r="C887" s="7">
        <v>671.40004518990895</v>
      </c>
      <c r="D887" s="7">
        <v>1</v>
      </c>
      <c r="E887" s="1">
        <v>4</v>
      </c>
      <c r="F887" s="7">
        <v>5</v>
      </c>
      <c r="G887" s="7">
        <v>5</v>
      </c>
      <c r="H887" s="7">
        <v>5</v>
      </c>
      <c r="I887" s="7">
        <v>5</v>
      </c>
      <c r="J887" s="8">
        <v>5</v>
      </c>
    </row>
    <row r="888" spans="1:10" x14ac:dyDescent="0.25">
      <c r="A888" s="6">
        <v>520100</v>
      </c>
      <c r="B888" s="7">
        <v>2</v>
      </c>
      <c r="C888" s="7">
        <v>228.48582084433301</v>
      </c>
      <c r="D888" s="7">
        <v>6</v>
      </c>
      <c r="E888" s="1">
        <v>6</v>
      </c>
      <c r="F888" s="7">
        <v>5</v>
      </c>
      <c r="G888" s="7">
        <v>5</v>
      </c>
      <c r="H888" s="7">
        <v>5</v>
      </c>
      <c r="I888" s="7">
        <v>5</v>
      </c>
      <c r="J888" s="8">
        <v>5</v>
      </c>
    </row>
    <row r="889" spans="1:10" hidden="1" x14ac:dyDescent="0.25">
      <c r="A889" s="6">
        <v>520126</v>
      </c>
      <c r="B889" s="7">
        <v>1</v>
      </c>
      <c r="C889" s="7">
        <v>609.16018371618804</v>
      </c>
      <c r="D889" s="7">
        <v>4</v>
      </c>
      <c r="E889" s="1">
        <v>4</v>
      </c>
      <c r="F889" s="7">
        <v>5</v>
      </c>
      <c r="G889" s="7">
        <v>5</v>
      </c>
      <c r="H889" s="7">
        <v>5</v>
      </c>
      <c r="I889" s="7">
        <v>5</v>
      </c>
      <c r="J889" s="8">
        <v>5</v>
      </c>
    </row>
    <row r="890" spans="1:10" hidden="1" x14ac:dyDescent="0.25">
      <c r="A890" s="6">
        <v>520136</v>
      </c>
      <c r="B890" s="7">
        <v>1</v>
      </c>
      <c r="C890" s="7">
        <v>653.76242718466005</v>
      </c>
      <c r="D890" s="7">
        <v>5</v>
      </c>
      <c r="E890" s="1">
        <v>5</v>
      </c>
      <c r="F890" s="7">
        <v>5</v>
      </c>
      <c r="G890" s="7">
        <v>5</v>
      </c>
      <c r="H890" s="7">
        <v>5</v>
      </c>
      <c r="I890" s="7">
        <v>5</v>
      </c>
      <c r="J890" s="8">
        <v>5</v>
      </c>
    </row>
    <row r="891" spans="1:10" x14ac:dyDescent="0.25">
      <c r="A891" s="6">
        <v>520184</v>
      </c>
      <c r="B891" s="7">
        <v>2</v>
      </c>
      <c r="C891" s="7">
        <v>217.465040671601</v>
      </c>
      <c r="D891" s="7">
        <v>8</v>
      </c>
      <c r="E891" s="1">
        <v>8</v>
      </c>
      <c r="F891" s="7">
        <v>5</v>
      </c>
      <c r="G891" s="7">
        <v>5</v>
      </c>
      <c r="H891" s="7">
        <v>5</v>
      </c>
      <c r="I891" s="7">
        <v>5</v>
      </c>
      <c r="J891" s="8">
        <v>5</v>
      </c>
    </row>
    <row r="892" spans="1:10" hidden="1" x14ac:dyDescent="0.25">
      <c r="A892" s="6">
        <v>520248</v>
      </c>
      <c r="B892" s="7">
        <v>2</v>
      </c>
      <c r="C892" s="7">
        <v>89.128519726256499</v>
      </c>
      <c r="D892" s="7">
        <v>4</v>
      </c>
      <c r="E892" s="1">
        <v>5</v>
      </c>
      <c r="F892" s="7">
        <v>5</v>
      </c>
      <c r="G892" s="7">
        <v>5</v>
      </c>
      <c r="H892" s="7">
        <v>5</v>
      </c>
      <c r="I892" s="7">
        <v>5</v>
      </c>
      <c r="J892" s="8">
        <v>5</v>
      </c>
    </row>
    <row r="893" spans="1:10" x14ac:dyDescent="0.25">
      <c r="A893" s="6">
        <v>520279</v>
      </c>
      <c r="B893" s="7">
        <v>1</v>
      </c>
      <c r="C893" s="7">
        <v>595.69562065549997</v>
      </c>
      <c r="D893" s="7">
        <v>6</v>
      </c>
      <c r="E893" s="1">
        <v>6</v>
      </c>
      <c r="F893" s="7">
        <v>5</v>
      </c>
      <c r="G893" s="7">
        <v>5</v>
      </c>
      <c r="H893" s="7">
        <v>5</v>
      </c>
      <c r="I893" s="7">
        <v>5</v>
      </c>
      <c r="J893" s="8">
        <v>5</v>
      </c>
    </row>
    <row r="894" spans="1:10" x14ac:dyDescent="0.25">
      <c r="A894" s="6">
        <v>520327</v>
      </c>
      <c r="B894" s="7">
        <v>2</v>
      </c>
      <c r="C894" s="7">
        <v>606.29160858728903</v>
      </c>
      <c r="D894" s="7">
        <v>8</v>
      </c>
      <c r="E894" s="1">
        <v>9</v>
      </c>
      <c r="F894" s="7">
        <v>5</v>
      </c>
      <c r="G894" s="7">
        <v>5</v>
      </c>
      <c r="H894" s="7">
        <v>5</v>
      </c>
      <c r="I894" s="7">
        <v>5</v>
      </c>
      <c r="J894" s="8">
        <v>5</v>
      </c>
    </row>
    <row r="895" spans="1:10" hidden="1" x14ac:dyDescent="0.25">
      <c r="A895" s="6">
        <v>520356</v>
      </c>
      <c r="B895" s="7">
        <v>2</v>
      </c>
      <c r="C895" s="7">
        <v>475.00456592201903</v>
      </c>
      <c r="D895" s="7">
        <v>7</v>
      </c>
      <c r="E895" s="1">
        <v>7</v>
      </c>
      <c r="F895" s="7">
        <v>5</v>
      </c>
      <c r="G895" s="7">
        <v>5</v>
      </c>
      <c r="H895" s="7">
        <v>5</v>
      </c>
      <c r="I895" s="7">
        <v>5</v>
      </c>
      <c r="J895" s="8">
        <v>5</v>
      </c>
    </row>
    <row r="896" spans="1:10" hidden="1" x14ac:dyDescent="0.25">
      <c r="A896" s="6">
        <v>520361</v>
      </c>
      <c r="B896" s="7">
        <v>2</v>
      </c>
      <c r="C896" s="7">
        <v>2133.07147908773</v>
      </c>
      <c r="D896" s="7">
        <v>5</v>
      </c>
      <c r="E896" s="1">
        <v>5</v>
      </c>
      <c r="F896" s="7">
        <v>5</v>
      </c>
      <c r="G896" s="7">
        <v>5</v>
      </c>
      <c r="H896" s="7">
        <v>5</v>
      </c>
      <c r="I896" s="7">
        <v>5</v>
      </c>
      <c r="J896" s="8">
        <v>5</v>
      </c>
    </row>
    <row r="897" spans="1:10" x14ac:dyDescent="0.25">
      <c r="A897" s="6">
        <v>520366</v>
      </c>
      <c r="B897" s="7">
        <v>2</v>
      </c>
      <c r="C897" s="7">
        <v>478.36985765827598</v>
      </c>
      <c r="D897" s="7">
        <v>6</v>
      </c>
      <c r="E897" s="1">
        <v>7</v>
      </c>
      <c r="F897" s="7">
        <v>5</v>
      </c>
      <c r="G897" s="7">
        <v>5</v>
      </c>
      <c r="H897" s="7">
        <v>5</v>
      </c>
      <c r="I897" s="7">
        <v>5</v>
      </c>
      <c r="J897" s="8">
        <v>5</v>
      </c>
    </row>
    <row r="898" spans="1:10" hidden="1" x14ac:dyDescent="0.25">
      <c r="A898" s="6">
        <v>520379</v>
      </c>
      <c r="B898" s="7">
        <v>2</v>
      </c>
      <c r="C898" s="7">
        <v>418.14757584010601</v>
      </c>
      <c r="D898" s="7">
        <v>2</v>
      </c>
      <c r="E898" s="1">
        <v>8</v>
      </c>
      <c r="F898" s="7">
        <v>5</v>
      </c>
      <c r="G898" s="7">
        <v>5</v>
      </c>
      <c r="H898" s="7">
        <v>5</v>
      </c>
      <c r="I898" s="7">
        <v>5</v>
      </c>
      <c r="J898" s="8">
        <v>5</v>
      </c>
    </row>
    <row r="899" spans="1:10" hidden="1" x14ac:dyDescent="0.25">
      <c r="A899" s="6">
        <v>520380</v>
      </c>
      <c r="B899" s="7">
        <v>2</v>
      </c>
      <c r="C899" s="7">
        <v>152.35813517541001</v>
      </c>
      <c r="D899" s="7">
        <v>7</v>
      </c>
      <c r="E899" s="1">
        <v>5</v>
      </c>
      <c r="F899" s="7">
        <v>5</v>
      </c>
      <c r="G899" s="7">
        <v>5</v>
      </c>
      <c r="H899" s="7">
        <v>5</v>
      </c>
      <c r="I899" s="7">
        <v>5</v>
      </c>
      <c r="J899" s="8">
        <v>5</v>
      </c>
    </row>
    <row r="900" spans="1:10" x14ac:dyDescent="0.25">
      <c r="A900" s="6">
        <v>520382</v>
      </c>
      <c r="B900" s="7">
        <v>2</v>
      </c>
      <c r="C900" s="7">
        <v>115.95146796187601</v>
      </c>
      <c r="D900" s="7">
        <v>8</v>
      </c>
      <c r="E900" s="1">
        <v>8</v>
      </c>
      <c r="F900" s="7">
        <v>5</v>
      </c>
      <c r="G900" s="7">
        <v>5</v>
      </c>
      <c r="H900" s="7">
        <v>5</v>
      </c>
      <c r="I900" s="7">
        <v>5</v>
      </c>
      <c r="J900" s="8">
        <v>5</v>
      </c>
    </row>
    <row r="901" spans="1:10" hidden="1" x14ac:dyDescent="0.25">
      <c r="A901" s="6">
        <v>520405</v>
      </c>
      <c r="B901" s="7">
        <v>2</v>
      </c>
      <c r="C901" s="7">
        <v>287.55344043038701</v>
      </c>
      <c r="D901" s="7">
        <v>7</v>
      </c>
      <c r="E901" s="1">
        <v>7</v>
      </c>
      <c r="F901" s="7">
        <v>5</v>
      </c>
      <c r="G901" s="7">
        <v>5</v>
      </c>
      <c r="H901" s="7">
        <v>5</v>
      </c>
      <c r="I901" s="7">
        <v>5</v>
      </c>
      <c r="J901" s="8">
        <v>5</v>
      </c>
    </row>
    <row r="902" spans="1:10" hidden="1" x14ac:dyDescent="0.25">
      <c r="A902" s="6">
        <v>520411</v>
      </c>
      <c r="B902" s="7">
        <v>2</v>
      </c>
      <c r="C902" s="7">
        <v>193.007767801358</v>
      </c>
      <c r="D902" s="7">
        <v>7</v>
      </c>
      <c r="E902" s="1">
        <v>7</v>
      </c>
      <c r="F902" s="7">
        <v>5</v>
      </c>
      <c r="G902" s="7">
        <v>5</v>
      </c>
      <c r="H902" s="7">
        <v>5</v>
      </c>
      <c r="I902" s="7">
        <v>5</v>
      </c>
      <c r="J902" s="8">
        <v>5</v>
      </c>
    </row>
    <row r="903" spans="1:10" x14ac:dyDescent="0.25">
      <c r="A903" s="6">
        <v>520414</v>
      </c>
      <c r="B903" s="7">
        <v>1</v>
      </c>
      <c r="C903" s="7">
        <v>806.61083470680205</v>
      </c>
      <c r="D903" s="7">
        <v>8</v>
      </c>
      <c r="E903" s="1">
        <v>8</v>
      </c>
      <c r="F903" s="7">
        <v>5</v>
      </c>
      <c r="G903" s="7">
        <v>1</v>
      </c>
      <c r="H903" s="7">
        <v>1</v>
      </c>
      <c r="I903" s="7">
        <v>5</v>
      </c>
      <c r="J903" s="8">
        <v>5</v>
      </c>
    </row>
    <row r="904" spans="1:10" x14ac:dyDescent="0.25">
      <c r="A904" s="6">
        <v>520432</v>
      </c>
      <c r="B904" s="7">
        <v>2</v>
      </c>
      <c r="C904" s="7">
        <v>1263.60850917516</v>
      </c>
      <c r="D904" s="7">
        <v>6</v>
      </c>
      <c r="E904" s="1">
        <v>5</v>
      </c>
      <c r="F904" s="7">
        <v>5</v>
      </c>
      <c r="G904" s="7">
        <v>5</v>
      </c>
      <c r="H904" s="7">
        <v>5</v>
      </c>
      <c r="I904" s="7">
        <v>5</v>
      </c>
      <c r="J904" s="8">
        <v>5</v>
      </c>
    </row>
    <row r="905" spans="1:10" x14ac:dyDescent="0.25">
      <c r="A905" s="6">
        <v>520446</v>
      </c>
      <c r="B905" s="7">
        <v>1</v>
      </c>
      <c r="C905" s="7">
        <v>617.57770313045</v>
      </c>
      <c r="D905" s="7">
        <v>6</v>
      </c>
      <c r="E905" s="1">
        <v>6</v>
      </c>
      <c r="F905" s="7">
        <v>5</v>
      </c>
      <c r="G905" s="7">
        <v>5</v>
      </c>
      <c r="H905" s="7">
        <v>5</v>
      </c>
      <c r="I905" s="7">
        <v>5</v>
      </c>
      <c r="J905" s="8">
        <v>5</v>
      </c>
    </row>
    <row r="906" spans="1:10" x14ac:dyDescent="0.25">
      <c r="A906" s="6">
        <v>520451</v>
      </c>
      <c r="B906" s="7">
        <v>2</v>
      </c>
      <c r="C906" s="7">
        <v>617.40879024997503</v>
      </c>
      <c r="D906" s="7">
        <v>8</v>
      </c>
      <c r="E906" s="1">
        <v>8</v>
      </c>
      <c r="F906" s="7">
        <v>5</v>
      </c>
      <c r="G906" s="7">
        <v>5</v>
      </c>
      <c r="H906" s="7">
        <v>5</v>
      </c>
      <c r="I906" s="7">
        <v>5</v>
      </c>
      <c r="J906" s="8">
        <v>5</v>
      </c>
    </row>
    <row r="907" spans="1:10" hidden="1" x14ac:dyDescent="0.25">
      <c r="A907" s="6">
        <v>520454</v>
      </c>
      <c r="B907" s="7">
        <v>1</v>
      </c>
      <c r="C907" s="7">
        <v>1179.3127013625001</v>
      </c>
      <c r="D907" s="7">
        <v>7</v>
      </c>
      <c r="E907" s="1">
        <v>7</v>
      </c>
      <c r="F907" s="7">
        <v>5</v>
      </c>
      <c r="G907" s="7">
        <v>5</v>
      </c>
      <c r="H907" s="7">
        <v>5</v>
      </c>
      <c r="I907" s="7">
        <v>5</v>
      </c>
      <c r="J907" s="8">
        <v>5</v>
      </c>
    </row>
    <row r="908" spans="1:10" hidden="1" x14ac:dyDescent="0.25">
      <c r="A908" s="6">
        <v>520463</v>
      </c>
      <c r="B908" s="7">
        <v>1</v>
      </c>
      <c r="C908" s="7">
        <v>512.02179976903005</v>
      </c>
      <c r="D908" s="7">
        <v>2</v>
      </c>
      <c r="E908" s="1">
        <v>9</v>
      </c>
      <c r="F908" s="7">
        <v>5</v>
      </c>
      <c r="G908" s="7">
        <v>5</v>
      </c>
      <c r="H908" s="7">
        <v>5</v>
      </c>
      <c r="I908" s="7">
        <v>5</v>
      </c>
      <c r="J908" s="8">
        <v>5</v>
      </c>
    </row>
    <row r="909" spans="1:10" hidden="1" x14ac:dyDescent="0.25">
      <c r="A909" s="6">
        <v>520464</v>
      </c>
      <c r="B909" s="7">
        <v>1</v>
      </c>
      <c r="C909" s="7">
        <v>402.82037181072297</v>
      </c>
      <c r="D909" s="7">
        <v>5</v>
      </c>
      <c r="E909" s="1">
        <v>5</v>
      </c>
      <c r="F909" s="7">
        <v>5</v>
      </c>
      <c r="G909" s="7">
        <v>5</v>
      </c>
      <c r="H909" s="7">
        <v>5</v>
      </c>
      <c r="I909" s="7">
        <v>5</v>
      </c>
      <c r="J909" s="8">
        <v>5</v>
      </c>
    </row>
    <row r="910" spans="1:10" hidden="1" x14ac:dyDescent="0.25">
      <c r="A910" s="6">
        <v>520478</v>
      </c>
      <c r="B910" s="7">
        <v>2</v>
      </c>
      <c r="C910" s="7">
        <v>278.83280741148002</v>
      </c>
      <c r="D910" s="7">
        <v>7</v>
      </c>
      <c r="E910" s="1">
        <v>7</v>
      </c>
      <c r="F910" s="7">
        <v>5</v>
      </c>
      <c r="G910" s="7">
        <v>5</v>
      </c>
      <c r="H910" s="7">
        <v>5</v>
      </c>
      <c r="I910" s="7">
        <v>5</v>
      </c>
      <c r="J910" s="8">
        <v>5</v>
      </c>
    </row>
    <row r="911" spans="1:10" x14ac:dyDescent="0.25">
      <c r="A911" s="6">
        <v>520480</v>
      </c>
      <c r="B911" s="7">
        <v>2</v>
      </c>
      <c r="C911" s="7">
        <v>385.39001541970902</v>
      </c>
      <c r="D911" s="7">
        <v>8</v>
      </c>
      <c r="E911" s="1">
        <v>8</v>
      </c>
      <c r="F911" s="7">
        <v>5</v>
      </c>
      <c r="G911" s="7">
        <v>5</v>
      </c>
      <c r="H911" s="7">
        <v>5</v>
      </c>
      <c r="I911" s="7">
        <v>5</v>
      </c>
      <c r="J911" s="8">
        <v>5</v>
      </c>
    </row>
    <row r="912" spans="1:10" hidden="1" x14ac:dyDescent="0.25">
      <c r="A912" s="6">
        <v>520488</v>
      </c>
      <c r="B912" s="7">
        <v>1</v>
      </c>
      <c r="C912" s="7">
        <v>815.78697168480096</v>
      </c>
      <c r="D912" s="7">
        <v>3</v>
      </c>
      <c r="E912" s="1">
        <v>3</v>
      </c>
      <c r="F912" s="7">
        <v>5</v>
      </c>
      <c r="G912" s="7">
        <v>5</v>
      </c>
      <c r="H912" s="7">
        <v>5</v>
      </c>
      <c r="I912" s="7">
        <v>5</v>
      </c>
      <c r="J912" s="8">
        <v>5</v>
      </c>
    </row>
    <row r="913" spans="1:10" hidden="1" x14ac:dyDescent="0.25">
      <c r="A913" s="6">
        <v>520500</v>
      </c>
      <c r="B913" s="7">
        <v>2</v>
      </c>
      <c r="C913" s="7">
        <v>114.180111676351</v>
      </c>
      <c r="D913" s="7">
        <v>5</v>
      </c>
      <c r="E913" s="1">
        <v>5</v>
      </c>
      <c r="F913" s="7">
        <v>5</v>
      </c>
      <c r="G913" s="7">
        <v>5</v>
      </c>
      <c r="H913" s="7">
        <v>5</v>
      </c>
      <c r="I913" s="7">
        <v>5</v>
      </c>
      <c r="J913" s="8">
        <v>5</v>
      </c>
    </row>
    <row r="914" spans="1:10" hidden="1" x14ac:dyDescent="0.25">
      <c r="A914" s="6">
        <v>520625</v>
      </c>
      <c r="B914" s="7">
        <v>1</v>
      </c>
      <c r="C914" s="7">
        <v>698.35480505356702</v>
      </c>
      <c r="D914" s="7">
        <v>5</v>
      </c>
      <c r="E914" s="1">
        <v>5</v>
      </c>
      <c r="F914" s="7">
        <v>5</v>
      </c>
      <c r="G914" s="7">
        <v>5</v>
      </c>
      <c r="H914" s="7">
        <v>5</v>
      </c>
      <c r="I914" s="7">
        <v>5</v>
      </c>
      <c r="J914" s="8">
        <v>5</v>
      </c>
    </row>
    <row r="915" spans="1:10" x14ac:dyDescent="0.25">
      <c r="A915" s="6">
        <v>520738</v>
      </c>
      <c r="B915" s="7">
        <v>2</v>
      </c>
      <c r="C915" s="7">
        <v>228.5970319127</v>
      </c>
      <c r="D915" s="7">
        <v>8</v>
      </c>
      <c r="E915" s="1">
        <v>8</v>
      </c>
      <c r="F915" s="7">
        <v>5</v>
      </c>
      <c r="G915" s="7">
        <v>5</v>
      </c>
      <c r="H915" s="7">
        <v>5</v>
      </c>
      <c r="I915" s="7">
        <v>5</v>
      </c>
      <c r="J915" s="8">
        <v>5</v>
      </c>
    </row>
    <row r="916" spans="1:10" hidden="1" x14ac:dyDescent="0.25">
      <c r="A916" s="6">
        <v>520807</v>
      </c>
      <c r="B916" s="7">
        <v>1</v>
      </c>
      <c r="C916" s="7">
        <v>992.67379462240399</v>
      </c>
      <c r="D916" s="7">
        <v>4</v>
      </c>
      <c r="E916" s="1">
        <v>4</v>
      </c>
      <c r="F916" s="7">
        <v>5</v>
      </c>
      <c r="G916" s="7">
        <v>5</v>
      </c>
      <c r="H916" s="7">
        <v>5</v>
      </c>
      <c r="I916" s="7">
        <v>5</v>
      </c>
      <c r="J916" s="8">
        <v>5</v>
      </c>
    </row>
    <row r="917" spans="1:10" hidden="1" x14ac:dyDescent="0.25">
      <c r="A917" s="6">
        <v>520821</v>
      </c>
      <c r="B917" s="7">
        <v>2</v>
      </c>
      <c r="C917" s="7">
        <v>709.87554771466705</v>
      </c>
      <c r="D917" s="7">
        <v>4</v>
      </c>
      <c r="E917" s="1">
        <v>4</v>
      </c>
      <c r="F917" s="7">
        <v>5</v>
      </c>
      <c r="G917" s="7">
        <v>5</v>
      </c>
      <c r="H917" s="7">
        <v>5</v>
      </c>
      <c r="I917" s="7">
        <v>5</v>
      </c>
      <c r="J917" s="8">
        <v>5</v>
      </c>
    </row>
    <row r="918" spans="1:10" x14ac:dyDescent="0.25">
      <c r="A918" s="6">
        <v>520903</v>
      </c>
      <c r="B918" s="7">
        <v>2</v>
      </c>
      <c r="C918" s="7">
        <v>206.082674291242</v>
      </c>
      <c r="D918" s="7">
        <v>8</v>
      </c>
      <c r="E918" s="1">
        <v>8</v>
      </c>
      <c r="F918" s="7">
        <v>5</v>
      </c>
      <c r="G918" s="7">
        <v>5</v>
      </c>
      <c r="H918" s="7">
        <v>5</v>
      </c>
      <c r="I918" s="7">
        <v>5</v>
      </c>
      <c r="J918" s="8">
        <v>5</v>
      </c>
    </row>
    <row r="919" spans="1:10" hidden="1" x14ac:dyDescent="0.25">
      <c r="A919" s="6">
        <v>520914</v>
      </c>
      <c r="B919" s="7">
        <v>2</v>
      </c>
      <c r="C919" s="7">
        <v>90.081040977528005</v>
      </c>
      <c r="D919" s="7">
        <v>7</v>
      </c>
      <c r="E919" s="1">
        <v>7</v>
      </c>
      <c r="F919" s="7">
        <v>5</v>
      </c>
      <c r="G919" s="7">
        <v>5</v>
      </c>
      <c r="H919" s="7">
        <v>5</v>
      </c>
      <c r="I919" s="7">
        <v>5</v>
      </c>
      <c r="J919" s="8">
        <v>5</v>
      </c>
    </row>
    <row r="920" spans="1:10" hidden="1" x14ac:dyDescent="0.25">
      <c r="A920" s="6">
        <v>520988</v>
      </c>
      <c r="B920" s="7">
        <v>1</v>
      </c>
      <c r="C920" s="7">
        <v>192.99458753103499</v>
      </c>
      <c r="D920" s="7">
        <v>5</v>
      </c>
      <c r="E920" s="1">
        <v>9</v>
      </c>
      <c r="F920" s="7">
        <v>5</v>
      </c>
      <c r="G920" s="7">
        <v>5</v>
      </c>
      <c r="H920" s="7">
        <v>5</v>
      </c>
      <c r="I920" s="7">
        <v>5</v>
      </c>
      <c r="J920" s="8">
        <v>5</v>
      </c>
    </row>
    <row r="921" spans="1:10" x14ac:dyDescent="0.25">
      <c r="A921" s="6">
        <v>521174</v>
      </c>
      <c r="B921" s="7">
        <v>2</v>
      </c>
      <c r="C921" s="7">
        <v>304.75138070910401</v>
      </c>
      <c r="D921" s="7">
        <v>6</v>
      </c>
      <c r="E921" s="1">
        <v>5</v>
      </c>
      <c r="F921" s="7">
        <v>5</v>
      </c>
      <c r="G921" s="7">
        <v>5</v>
      </c>
      <c r="H921" s="7">
        <v>5</v>
      </c>
      <c r="I921" s="7">
        <v>5</v>
      </c>
      <c r="J921" s="8">
        <v>5</v>
      </c>
    </row>
    <row r="922" spans="1:10" hidden="1" x14ac:dyDescent="0.25">
      <c r="A922" s="6">
        <v>521201</v>
      </c>
      <c r="B922" s="7">
        <v>2</v>
      </c>
      <c r="C922" s="7">
        <v>155.359685566802</v>
      </c>
      <c r="D922" s="7">
        <v>2</v>
      </c>
      <c r="E922" s="1">
        <v>8</v>
      </c>
      <c r="F922" s="7">
        <v>5</v>
      </c>
      <c r="G922" s="7">
        <v>5</v>
      </c>
      <c r="H922" s="7">
        <v>5</v>
      </c>
      <c r="I922" s="7">
        <v>5</v>
      </c>
      <c r="J922" s="8">
        <v>5</v>
      </c>
    </row>
    <row r="923" spans="1:10" hidden="1" x14ac:dyDescent="0.25">
      <c r="A923" s="6">
        <v>521205</v>
      </c>
      <c r="B923" s="7">
        <v>1</v>
      </c>
      <c r="C923" s="7">
        <v>1325.2333478851299</v>
      </c>
      <c r="D923" s="7">
        <v>7</v>
      </c>
      <c r="E923" s="1">
        <v>7</v>
      </c>
      <c r="F923" s="7">
        <v>5</v>
      </c>
      <c r="G923" s="7">
        <v>5</v>
      </c>
      <c r="H923" s="7">
        <v>5</v>
      </c>
      <c r="I923" s="7">
        <v>5</v>
      </c>
      <c r="J923" s="8">
        <v>5</v>
      </c>
    </row>
    <row r="924" spans="1:10" hidden="1" x14ac:dyDescent="0.25">
      <c r="A924" s="6">
        <v>521243</v>
      </c>
      <c r="B924" s="7">
        <v>2</v>
      </c>
      <c r="C924" s="7">
        <v>26.4042014637153</v>
      </c>
      <c r="D924" s="7">
        <v>2</v>
      </c>
      <c r="E924" s="1">
        <v>5</v>
      </c>
      <c r="F924" s="7">
        <v>5</v>
      </c>
      <c r="G924" s="7">
        <v>5</v>
      </c>
      <c r="H924" s="7">
        <v>5</v>
      </c>
      <c r="I924" s="7">
        <v>5</v>
      </c>
      <c r="J924" s="8">
        <v>5</v>
      </c>
    </row>
    <row r="925" spans="1:10" hidden="1" x14ac:dyDescent="0.25">
      <c r="A925" s="6">
        <v>521245</v>
      </c>
      <c r="B925" s="7">
        <v>2</v>
      </c>
      <c r="C925" s="7">
        <v>779.04181085479297</v>
      </c>
      <c r="D925" s="7">
        <v>5</v>
      </c>
      <c r="E925" s="1">
        <v>5</v>
      </c>
      <c r="F925" s="7">
        <v>5</v>
      </c>
      <c r="G925" s="7">
        <v>5</v>
      </c>
      <c r="H925" s="7">
        <v>5</v>
      </c>
      <c r="I925" s="7">
        <v>5</v>
      </c>
      <c r="J925" s="8">
        <v>5</v>
      </c>
    </row>
    <row r="926" spans="1:10" hidden="1" x14ac:dyDescent="0.25">
      <c r="A926" s="6">
        <v>521271</v>
      </c>
      <c r="B926" s="7">
        <v>2</v>
      </c>
      <c r="C926" s="7">
        <v>778.64279753403002</v>
      </c>
      <c r="D926" s="7">
        <v>7</v>
      </c>
      <c r="E926" s="1">
        <v>7</v>
      </c>
      <c r="F926" s="7">
        <v>5</v>
      </c>
      <c r="G926" s="7">
        <v>5</v>
      </c>
      <c r="H926" s="7">
        <v>5</v>
      </c>
      <c r="I926" s="7">
        <v>5</v>
      </c>
      <c r="J926" s="8">
        <v>5</v>
      </c>
    </row>
    <row r="927" spans="1:10" hidden="1" x14ac:dyDescent="0.25">
      <c r="A927" s="6">
        <v>521293</v>
      </c>
      <c r="B927" s="7">
        <v>1</v>
      </c>
      <c r="C927" s="7">
        <v>595.70962702568295</v>
      </c>
      <c r="D927" s="7">
        <v>5</v>
      </c>
      <c r="E927" s="1">
        <v>5</v>
      </c>
      <c r="F927" s="7">
        <v>5</v>
      </c>
      <c r="G927" s="7">
        <v>5</v>
      </c>
      <c r="H927" s="7">
        <v>5</v>
      </c>
      <c r="I927" s="7">
        <v>5</v>
      </c>
      <c r="J927" s="8">
        <v>5</v>
      </c>
    </row>
    <row r="928" spans="1:10" x14ac:dyDescent="0.25">
      <c r="A928" s="6">
        <v>521331</v>
      </c>
      <c r="B928" s="7">
        <v>2</v>
      </c>
      <c r="C928" s="7">
        <v>1617.5829329759899</v>
      </c>
      <c r="D928" s="7">
        <v>9</v>
      </c>
      <c r="E928" s="1">
        <v>9</v>
      </c>
      <c r="F928" s="7">
        <v>1</v>
      </c>
      <c r="G928" s="7">
        <v>5</v>
      </c>
      <c r="H928" s="7">
        <v>5</v>
      </c>
      <c r="I928" s="7">
        <v>5</v>
      </c>
      <c r="J928" s="8">
        <v>5</v>
      </c>
    </row>
    <row r="929" spans="1:10" hidden="1" x14ac:dyDescent="0.25">
      <c r="A929" s="6">
        <v>521398</v>
      </c>
      <c r="B929" s="7">
        <v>1</v>
      </c>
      <c r="C929" s="7">
        <v>1062.6379834623699</v>
      </c>
      <c r="D929" s="7">
        <v>2</v>
      </c>
      <c r="E929" s="1">
        <v>8</v>
      </c>
      <c r="F929" s="7">
        <v>5</v>
      </c>
      <c r="G929" s="7">
        <v>5</v>
      </c>
      <c r="H929" s="7">
        <v>5</v>
      </c>
      <c r="I929" s="7">
        <v>5</v>
      </c>
      <c r="J929" s="8">
        <v>5</v>
      </c>
    </row>
    <row r="930" spans="1:10" hidden="1" x14ac:dyDescent="0.25">
      <c r="A930" s="6">
        <v>521480</v>
      </c>
      <c r="B930" s="7">
        <v>1</v>
      </c>
      <c r="C930" s="7">
        <v>816.48380301539305</v>
      </c>
      <c r="D930" s="7">
        <v>2</v>
      </c>
      <c r="E930" s="1">
        <v>4</v>
      </c>
      <c r="F930" s="7">
        <v>5</v>
      </c>
      <c r="G930" s="7">
        <v>5</v>
      </c>
      <c r="H930" s="7">
        <v>5</v>
      </c>
      <c r="I930" s="7">
        <v>5</v>
      </c>
      <c r="J930" s="8">
        <v>5</v>
      </c>
    </row>
    <row r="931" spans="1:10" hidden="1" x14ac:dyDescent="0.25">
      <c r="A931" s="6">
        <v>521539</v>
      </c>
      <c r="B931" s="7">
        <v>1</v>
      </c>
      <c r="C931" s="7">
        <v>260.27739328460001</v>
      </c>
      <c r="D931" s="7">
        <v>7</v>
      </c>
      <c r="E931" s="1">
        <v>7</v>
      </c>
      <c r="F931" s="7">
        <v>5</v>
      </c>
      <c r="G931" s="7">
        <v>5</v>
      </c>
      <c r="H931" s="7">
        <v>5</v>
      </c>
      <c r="I931" s="7">
        <v>5</v>
      </c>
      <c r="J931" s="8">
        <v>5</v>
      </c>
    </row>
    <row r="932" spans="1:10" x14ac:dyDescent="0.25">
      <c r="A932" s="6">
        <v>521543</v>
      </c>
      <c r="B932" s="7">
        <v>2</v>
      </c>
      <c r="C932" s="7">
        <v>203.529737262347</v>
      </c>
      <c r="D932" s="7">
        <v>9</v>
      </c>
      <c r="E932" s="1">
        <v>9</v>
      </c>
      <c r="F932" s="7">
        <v>5</v>
      </c>
      <c r="G932" s="7">
        <v>5</v>
      </c>
      <c r="H932" s="7">
        <v>5</v>
      </c>
      <c r="I932" s="7">
        <v>5</v>
      </c>
      <c r="J932" s="8">
        <v>5</v>
      </c>
    </row>
    <row r="933" spans="1:10" hidden="1" x14ac:dyDescent="0.25">
      <c r="A933" s="6">
        <v>521572</v>
      </c>
      <c r="B933" s="7">
        <v>1</v>
      </c>
      <c r="C933" s="7">
        <v>345.761089803716</v>
      </c>
      <c r="D933" s="7">
        <v>1</v>
      </c>
      <c r="E933" s="1">
        <v>5</v>
      </c>
      <c r="F933" s="7">
        <v>5</v>
      </c>
      <c r="G933" s="7">
        <v>5</v>
      </c>
      <c r="H933" s="7">
        <v>5</v>
      </c>
      <c r="I933" s="7">
        <v>5</v>
      </c>
      <c r="J933" s="8">
        <v>5</v>
      </c>
    </row>
    <row r="934" spans="1:10" x14ac:dyDescent="0.25">
      <c r="A934" s="6">
        <v>521596</v>
      </c>
      <c r="B934" s="7">
        <v>2</v>
      </c>
      <c r="C934" s="7">
        <v>27.346481029839399</v>
      </c>
      <c r="D934" s="7">
        <v>9</v>
      </c>
      <c r="E934" s="1">
        <v>9</v>
      </c>
      <c r="F934" s="7">
        <v>5</v>
      </c>
      <c r="G934" s="7">
        <v>5</v>
      </c>
      <c r="H934" s="7">
        <v>5</v>
      </c>
      <c r="I934" s="7">
        <v>5</v>
      </c>
      <c r="J934" s="8">
        <v>5</v>
      </c>
    </row>
    <row r="935" spans="1:10" hidden="1" x14ac:dyDescent="0.25">
      <c r="A935" s="6">
        <v>521616</v>
      </c>
      <c r="B935" s="7">
        <v>1</v>
      </c>
      <c r="C935" s="7">
        <v>912.43938815959405</v>
      </c>
      <c r="D935" s="7">
        <v>4</v>
      </c>
      <c r="E935" s="1">
        <v>4</v>
      </c>
      <c r="F935" s="7">
        <v>5</v>
      </c>
      <c r="G935" s="7">
        <v>5</v>
      </c>
      <c r="H935" s="7">
        <v>5</v>
      </c>
      <c r="I935" s="7">
        <v>5</v>
      </c>
      <c r="J935" s="8">
        <v>5</v>
      </c>
    </row>
    <row r="936" spans="1:10" hidden="1" x14ac:dyDescent="0.25">
      <c r="A936" s="6">
        <v>521803</v>
      </c>
      <c r="B936" s="7">
        <v>2</v>
      </c>
      <c r="C936" s="7">
        <v>26.4042014637153</v>
      </c>
      <c r="D936" s="7">
        <v>2</v>
      </c>
      <c r="E936" s="1">
        <v>5</v>
      </c>
      <c r="F936" s="7">
        <v>5</v>
      </c>
      <c r="G936" s="7">
        <v>5</v>
      </c>
      <c r="H936" s="7">
        <v>5</v>
      </c>
      <c r="I936" s="7">
        <v>5</v>
      </c>
      <c r="J936" s="8">
        <v>5</v>
      </c>
    </row>
    <row r="937" spans="1:10" hidden="1" x14ac:dyDescent="0.25">
      <c r="A937" s="6">
        <v>521816</v>
      </c>
      <c r="B937" s="7">
        <v>1</v>
      </c>
      <c r="C937" s="7">
        <v>2130.6040466656</v>
      </c>
      <c r="D937" s="7">
        <v>4</v>
      </c>
      <c r="E937" s="1">
        <v>4</v>
      </c>
      <c r="F937" s="7">
        <v>5</v>
      </c>
      <c r="G937" s="7">
        <v>5</v>
      </c>
      <c r="H937" s="7">
        <v>5</v>
      </c>
      <c r="I937" s="7">
        <v>5</v>
      </c>
      <c r="J937" s="8">
        <v>5</v>
      </c>
    </row>
    <row r="938" spans="1:10" hidden="1" x14ac:dyDescent="0.25">
      <c r="A938" s="6">
        <v>521851</v>
      </c>
      <c r="B938" s="7">
        <v>2</v>
      </c>
      <c r="C938" s="7">
        <v>247.423079323461</v>
      </c>
      <c r="D938" s="7">
        <v>5</v>
      </c>
      <c r="E938" s="1">
        <v>5</v>
      </c>
      <c r="F938" s="7">
        <v>5</v>
      </c>
      <c r="G938" s="7">
        <v>5</v>
      </c>
      <c r="H938" s="7">
        <v>5</v>
      </c>
      <c r="I938" s="7">
        <v>5</v>
      </c>
      <c r="J938" s="8">
        <v>5</v>
      </c>
    </row>
    <row r="939" spans="1:10" hidden="1" x14ac:dyDescent="0.25">
      <c r="A939" s="6">
        <v>521913</v>
      </c>
      <c r="B939" s="7">
        <v>2</v>
      </c>
      <c r="C939" s="7">
        <v>384.04143580539898</v>
      </c>
      <c r="D939" s="7">
        <v>7</v>
      </c>
      <c r="E939" s="1">
        <v>7</v>
      </c>
      <c r="F939" s="7">
        <v>5</v>
      </c>
      <c r="G939" s="7">
        <v>5</v>
      </c>
      <c r="H939" s="7">
        <v>5</v>
      </c>
      <c r="I939" s="7">
        <v>5</v>
      </c>
      <c r="J939" s="8">
        <v>5</v>
      </c>
    </row>
    <row r="940" spans="1:10" hidden="1" x14ac:dyDescent="0.25">
      <c r="A940" s="6">
        <v>522143</v>
      </c>
      <c r="B940" s="7">
        <v>1</v>
      </c>
      <c r="C940" s="7">
        <v>670.81508291593502</v>
      </c>
      <c r="D940" s="7">
        <v>5</v>
      </c>
      <c r="E940" s="1">
        <v>5</v>
      </c>
      <c r="F940" s="7">
        <v>5</v>
      </c>
      <c r="G940" s="7">
        <v>5</v>
      </c>
      <c r="H940" s="7">
        <v>5</v>
      </c>
      <c r="I940" s="7">
        <v>5</v>
      </c>
      <c r="J940" s="8">
        <v>5</v>
      </c>
    </row>
    <row r="941" spans="1:10" hidden="1" x14ac:dyDescent="0.25">
      <c r="A941" s="6">
        <v>522156</v>
      </c>
      <c r="B941" s="7">
        <v>1</v>
      </c>
      <c r="C941" s="7">
        <v>1258.38121048685</v>
      </c>
      <c r="D941" s="7">
        <v>5</v>
      </c>
      <c r="E941" s="1">
        <v>5</v>
      </c>
      <c r="F941" s="7">
        <v>5</v>
      </c>
      <c r="G941" s="7">
        <v>5</v>
      </c>
      <c r="H941" s="7">
        <v>5</v>
      </c>
      <c r="I941" s="7">
        <v>5</v>
      </c>
      <c r="J941" s="8">
        <v>5</v>
      </c>
    </row>
    <row r="942" spans="1:10" hidden="1" x14ac:dyDescent="0.25">
      <c r="A942" s="6">
        <v>522157</v>
      </c>
      <c r="B942" s="7">
        <v>1</v>
      </c>
      <c r="C942" s="7">
        <v>135.853292172404</v>
      </c>
      <c r="D942" s="7">
        <v>4</v>
      </c>
      <c r="E942" s="1">
        <v>4</v>
      </c>
      <c r="F942" s="7">
        <v>5</v>
      </c>
      <c r="G942" s="7">
        <v>5</v>
      </c>
      <c r="H942" s="7">
        <v>5</v>
      </c>
      <c r="I942" s="7">
        <v>5</v>
      </c>
      <c r="J942" s="8">
        <v>5</v>
      </c>
    </row>
    <row r="943" spans="1:10" x14ac:dyDescent="0.25">
      <c r="A943" s="6">
        <v>522160</v>
      </c>
      <c r="B943" s="7">
        <v>2</v>
      </c>
      <c r="C943" s="7">
        <v>380.01942027915698</v>
      </c>
      <c r="D943" s="7">
        <v>6</v>
      </c>
      <c r="E943" s="1">
        <v>5</v>
      </c>
      <c r="F943" s="7">
        <v>5</v>
      </c>
      <c r="G943" s="7">
        <v>5</v>
      </c>
      <c r="H943" s="7">
        <v>5</v>
      </c>
      <c r="I943" s="7">
        <v>5</v>
      </c>
      <c r="J943" s="8">
        <v>5</v>
      </c>
    </row>
    <row r="944" spans="1:10" hidden="1" x14ac:dyDescent="0.25">
      <c r="A944" s="6">
        <v>522182</v>
      </c>
      <c r="B944" s="7">
        <v>2</v>
      </c>
      <c r="C944" s="7">
        <v>112.538538288365</v>
      </c>
      <c r="D944" s="7">
        <v>5</v>
      </c>
      <c r="E944" s="1">
        <v>5</v>
      </c>
      <c r="F944" s="7">
        <v>5</v>
      </c>
      <c r="G944" s="7">
        <v>5</v>
      </c>
      <c r="H944" s="7">
        <v>5</v>
      </c>
      <c r="I944" s="7">
        <v>5</v>
      </c>
      <c r="J944" s="8">
        <v>5</v>
      </c>
    </row>
    <row r="945" spans="1:10" hidden="1" x14ac:dyDescent="0.25">
      <c r="A945" s="6">
        <v>522185</v>
      </c>
      <c r="B945" s="7">
        <v>1</v>
      </c>
      <c r="C945" s="7">
        <v>810.22793337279995</v>
      </c>
      <c r="D945" s="7">
        <v>5</v>
      </c>
      <c r="E945" s="1">
        <v>5</v>
      </c>
      <c r="F945" s="7">
        <v>5</v>
      </c>
      <c r="G945" s="7">
        <v>5</v>
      </c>
      <c r="H945" s="7">
        <v>5</v>
      </c>
      <c r="I945" s="7">
        <v>5</v>
      </c>
      <c r="J945" s="8">
        <v>5</v>
      </c>
    </row>
    <row r="946" spans="1:10" hidden="1" x14ac:dyDescent="0.25">
      <c r="A946" s="6">
        <v>522221</v>
      </c>
      <c r="B946" s="7">
        <v>1</v>
      </c>
      <c r="C946" s="7">
        <v>558.46076844249501</v>
      </c>
      <c r="D946" s="7">
        <v>2</v>
      </c>
      <c r="E946" s="1">
        <v>4</v>
      </c>
      <c r="F946" s="7">
        <v>5</v>
      </c>
      <c r="G946" s="7">
        <v>5</v>
      </c>
      <c r="H946" s="7">
        <v>5</v>
      </c>
      <c r="I946" s="7">
        <v>5</v>
      </c>
      <c r="J946" s="8">
        <v>5</v>
      </c>
    </row>
    <row r="947" spans="1:10" x14ac:dyDescent="0.25">
      <c r="A947" s="6">
        <v>522258</v>
      </c>
      <c r="B947" s="7">
        <v>2</v>
      </c>
      <c r="C947" s="7">
        <v>353.28518653142601</v>
      </c>
      <c r="D947" s="7">
        <v>6</v>
      </c>
      <c r="E947" s="1">
        <v>5</v>
      </c>
      <c r="F947" s="7">
        <v>5</v>
      </c>
      <c r="G947" s="7">
        <v>5</v>
      </c>
      <c r="H947" s="7">
        <v>5</v>
      </c>
      <c r="I947" s="7">
        <v>5</v>
      </c>
      <c r="J947" s="8">
        <v>5</v>
      </c>
    </row>
    <row r="948" spans="1:10" hidden="1" x14ac:dyDescent="0.25">
      <c r="A948" s="6">
        <v>522259</v>
      </c>
      <c r="B948" s="7">
        <v>2</v>
      </c>
      <c r="C948" s="7">
        <v>533.94982372991205</v>
      </c>
      <c r="D948" s="7">
        <v>7</v>
      </c>
      <c r="E948" s="1">
        <v>7</v>
      </c>
      <c r="F948" s="7">
        <v>5</v>
      </c>
      <c r="G948" s="7">
        <v>5</v>
      </c>
      <c r="H948" s="7">
        <v>5</v>
      </c>
      <c r="I948" s="7">
        <v>5</v>
      </c>
      <c r="J948" s="8">
        <v>5</v>
      </c>
    </row>
    <row r="949" spans="1:10" hidden="1" x14ac:dyDescent="0.25">
      <c r="A949" s="6">
        <v>522260</v>
      </c>
      <c r="B949" s="7">
        <v>1</v>
      </c>
      <c r="C949" s="7">
        <v>477.12052833298702</v>
      </c>
      <c r="D949" s="7">
        <v>5</v>
      </c>
      <c r="E949" s="1">
        <v>5</v>
      </c>
      <c r="F949" s="7">
        <v>5</v>
      </c>
      <c r="G949" s="7">
        <v>5</v>
      </c>
      <c r="H949" s="7">
        <v>5</v>
      </c>
      <c r="I949" s="7">
        <v>5</v>
      </c>
      <c r="J949" s="8">
        <v>5</v>
      </c>
    </row>
    <row r="950" spans="1:10" hidden="1" x14ac:dyDescent="0.25">
      <c r="A950" s="6">
        <v>522262</v>
      </c>
      <c r="B950" s="7">
        <v>2</v>
      </c>
      <c r="C950" s="7">
        <v>1491.9171600780701</v>
      </c>
      <c r="D950" s="7">
        <v>7</v>
      </c>
      <c r="E950" s="1">
        <v>7</v>
      </c>
      <c r="F950" s="7">
        <v>5</v>
      </c>
      <c r="G950" s="7">
        <v>5</v>
      </c>
      <c r="H950" s="7">
        <v>5</v>
      </c>
      <c r="I950" s="7">
        <v>5</v>
      </c>
      <c r="J950" s="8">
        <v>5</v>
      </c>
    </row>
    <row r="951" spans="1:10" hidden="1" x14ac:dyDescent="0.25">
      <c r="A951" s="6">
        <v>522348</v>
      </c>
      <c r="B951" s="7">
        <v>2</v>
      </c>
      <c r="C951" s="7">
        <v>497.41818011708602</v>
      </c>
      <c r="D951" s="7">
        <v>7</v>
      </c>
      <c r="E951" s="1">
        <v>7</v>
      </c>
      <c r="F951" s="7">
        <v>5</v>
      </c>
      <c r="G951" s="7">
        <v>5</v>
      </c>
      <c r="H951" s="7">
        <v>5</v>
      </c>
      <c r="I951" s="7">
        <v>5</v>
      </c>
      <c r="J951" s="8">
        <v>5</v>
      </c>
    </row>
    <row r="952" spans="1:10" x14ac:dyDescent="0.25">
      <c r="A952" s="6">
        <v>522349</v>
      </c>
      <c r="B952" s="7">
        <v>2</v>
      </c>
      <c r="C952" s="7">
        <v>125.862954537568</v>
      </c>
      <c r="D952" s="7">
        <v>9</v>
      </c>
      <c r="E952" s="1">
        <v>9</v>
      </c>
      <c r="F952" s="7">
        <v>5</v>
      </c>
      <c r="G952" s="7">
        <v>5</v>
      </c>
      <c r="H952" s="7">
        <v>5</v>
      </c>
      <c r="I952" s="7">
        <v>5</v>
      </c>
      <c r="J952" s="8">
        <v>5</v>
      </c>
    </row>
    <row r="953" spans="1:10" hidden="1" x14ac:dyDescent="0.25">
      <c r="A953" s="6">
        <v>522378</v>
      </c>
      <c r="B953" s="7">
        <v>1</v>
      </c>
      <c r="C953" s="7">
        <v>85.042834743810502</v>
      </c>
      <c r="D953" s="7">
        <v>7</v>
      </c>
      <c r="E953" s="1">
        <v>7</v>
      </c>
      <c r="F953" s="7">
        <v>5</v>
      </c>
      <c r="G953" s="7">
        <v>5</v>
      </c>
      <c r="H953" s="7">
        <v>5</v>
      </c>
      <c r="I953" s="7">
        <v>5</v>
      </c>
      <c r="J953" s="8">
        <v>5</v>
      </c>
    </row>
    <row r="954" spans="1:10" x14ac:dyDescent="0.25">
      <c r="A954" s="6">
        <v>522384</v>
      </c>
      <c r="B954" s="7">
        <v>1</v>
      </c>
      <c r="C954" s="7">
        <v>897.41061926036002</v>
      </c>
      <c r="D954" s="7">
        <v>8</v>
      </c>
      <c r="E954" s="1">
        <v>8</v>
      </c>
      <c r="F954" s="7">
        <v>1</v>
      </c>
      <c r="G954" s="7">
        <v>1</v>
      </c>
      <c r="H954" s="7">
        <v>1</v>
      </c>
      <c r="I954" s="7">
        <v>5</v>
      </c>
      <c r="J954" s="8">
        <v>5</v>
      </c>
    </row>
    <row r="955" spans="1:10" x14ac:dyDescent="0.25">
      <c r="A955" s="6">
        <v>522415</v>
      </c>
      <c r="B955" s="7">
        <v>2</v>
      </c>
      <c r="C955" s="7">
        <v>254.41776225354201</v>
      </c>
      <c r="D955" s="7">
        <v>8</v>
      </c>
      <c r="E955" s="1">
        <v>8</v>
      </c>
      <c r="F955" s="7">
        <v>5</v>
      </c>
      <c r="G955" s="7">
        <v>5</v>
      </c>
      <c r="H955" s="7">
        <v>5</v>
      </c>
      <c r="I955" s="7">
        <v>5</v>
      </c>
      <c r="J955" s="8">
        <v>5</v>
      </c>
    </row>
    <row r="956" spans="1:10" hidden="1" x14ac:dyDescent="0.25">
      <c r="A956" s="6">
        <v>522459</v>
      </c>
      <c r="B956" s="7">
        <v>2</v>
      </c>
      <c r="C956" s="7">
        <v>100.41044207928201</v>
      </c>
      <c r="D956" s="7">
        <v>7</v>
      </c>
      <c r="E956" s="1">
        <v>7</v>
      </c>
      <c r="F956" s="7">
        <v>5</v>
      </c>
      <c r="G956" s="7">
        <v>5</v>
      </c>
      <c r="H956" s="7">
        <v>5</v>
      </c>
      <c r="I956" s="7">
        <v>5</v>
      </c>
      <c r="J956" s="8">
        <v>5</v>
      </c>
    </row>
    <row r="957" spans="1:10" x14ac:dyDescent="0.25">
      <c r="A957" s="6">
        <v>522476</v>
      </c>
      <c r="B957" s="7">
        <v>2</v>
      </c>
      <c r="C957" s="7">
        <v>115.95146796187601</v>
      </c>
      <c r="D957" s="7">
        <v>8</v>
      </c>
      <c r="E957" s="1">
        <v>8</v>
      </c>
      <c r="F957" s="7">
        <v>5</v>
      </c>
      <c r="G957" s="7">
        <v>5</v>
      </c>
      <c r="H957" s="7">
        <v>5</v>
      </c>
      <c r="I957" s="7">
        <v>5</v>
      </c>
      <c r="J957" s="8">
        <v>5</v>
      </c>
    </row>
    <row r="958" spans="1:10" x14ac:dyDescent="0.25">
      <c r="A958" s="6">
        <v>522500</v>
      </c>
      <c r="B958" s="7">
        <v>2</v>
      </c>
      <c r="C958" s="7">
        <v>259.03325444638801</v>
      </c>
      <c r="D958" s="7">
        <v>8</v>
      </c>
      <c r="E958" s="1">
        <v>8</v>
      </c>
      <c r="F958" s="7">
        <v>5</v>
      </c>
      <c r="G958" s="7">
        <v>5</v>
      </c>
      <c r="H958" s="7">
        <v>5</v>
      </c>
      <c r="I958" s="7">
        <v>5</v>
      </c>
      <c r="J958" s="8">
        <v>5</v>
      </c>
    </row>
    <row r="959" spans="1:10" hidden="1" x14ac:dyDescent="0.25">
      <c r="A959" s="6">
        <v>522510</v>
      </c>
      <c r="B959" s="7">
        <v>2</v>
      </c>
      <c r="C959" s="7">
        <v>659.15837792001605</v>
      </c>
      <c r="D959" s="7">
        <v>5</v>
      </c>
      <c r="E959" s="1">
        <v>5</v>
      </c>
      <c r="F959" s="7">
        <v>5</v>
      </c>
      <c r="G959" s="7">
        <v>5</v>
      </c>
      <c r="H959" s="7">
        <v>5</v>
      </c>
      <c r="I959" s="7">
        <v>5</v>
      </c>
      <c r="J959" s="8">
        <v>5</v>
      </c>
    </row>
    <row r="960" spans="1:10" hidden="1" x14ac:dyDescent="0.25">
      <c r="A960" s="6">
        <v>522512</v>
      </c>
      <c r="B960" s="7">
        <v>2</v>
      </c>
      <c r="C960" s="7">
        <v>326.97573789014302</v>
      </c>
      <c r="D960" s="7">
        <v>5</v>
      </c>
      <c r="E960" s="1">
        <v>8</v>
      </c>
      <c r="F960" s="7">
        <v>5</v>
      </c>
      <c r="G960" s="7">
        <v>5</v>
      </c>
      <c r="H960" s="7">
        <v>5</v>
      </c>
      <c r="I960" s="7">
        <v>5</v>
      </c>
      <c r="J960" s="8">
        <v>5</v>
      </c>
    </row>
    <row r="961" spans="1:10" hidden="1" x14ac:dyDescent="0.25">
      <c r="A961" s="6">
        <v>522575</v>
      </c>
      <c r="B961" s="7">
        <v>1</v>
      </c>
      <c r="C961" s="7">
        <v>787.43455248976898</v>
      </c>
      <c r="D961" s="7">
        <v>5</v>
      </c>
      <c r="E961" s="1">
        <v>5</v>
      </c>
      <c r="F961" s="7">
        <v>5</v>
      </c>
      <c r="G961" s="7">
        <v>5</v>
      </c>
      <c r="H961" s="7">
        <v>5</v>
      </c>
      <c r="I961" s="7">
        <v>5</v>
      </c>
      <c r="J961" s="8">
        <v>5</v>
      </c>
    </row>
    <row r="962" spans="1:10" hidden="1" x14ac:dyDescent="0.25">
      <c r="A962" s="6">
        <v>522587</v>
      </c>
      <c r="B962" s="7">
        <v>2</v>
      </c>
      <c r="C962" s="7">
        <v>367.586470200907</v>
      </c>
      <c r="D962" s="7">
        <v>5</v>
      </c>
      <c r="E962" s="1">
        <v>5</v>
      </c>
      <c r="F962" s="7">
        <v>1</v>
      </c>
      <c r="G962" s="7">
        <v>5</v>
      </c>
      <c r="H962" s="7">
        <v>5</v>
      </c>
      <c r="I962" s="7">
        <v>5</v>
      </c>
      <c r="J962" s="8">
        <v>5</v>
      </c>
    </row>
    <row r="963" spans="1:10" hidden="1" x14ac:dyDescent="0.25">
      <c r="A963" s="6">
        <v>522588</v>
      </c>
      <c r="B963" s="7">
        <v>1</v>
      </c>
      <c r="C963" s="7">
        <v>778.44481959848804</v>
      </c>
      <c r="D963" s="7">
        <v>3</v>
      </c>
      <c r="E963" s="1">
        <v>3</v>
      </c>
      <c r="F963" s="7">
        <v>5</v>
      </c>
      <c r="G963" s="7">
        <v>5</v>
      </c>
      <c r="H963" s="7">
        <v>5</v>
      </c>
      <c r="I963" s="7">
        <v>5</v>
      </c>
      <c r="J963" s="8">
        <v>5</v>
      </c>
    </row>
    <row r="964" spans="1:10" hidden="1" x14ac:dyDescent="0.25">
      <c r="A964" s="6">
        <v>522592</v>
      </c>
      <c r="B964" s="7">
        <v>1</v>
      </c>
      <c r="C964" s="7">
        <v>1119.10841922691</v>
      </c>
      <c r="D964" s="7">
        <v>5</v>
      </c>
      <c r="E964" s="1">
        <v>5</v>
      </c>
      <c r="F964" s="7">
        <v>5</v>
      </c>
      <c r="G964" s="7">
        <v>5</v>
      </c>
      <c r="H964" s="7">
        <v>5</v>
      </c>
      <c r="I964" s="7">
        <v>5</v>
      </c>
      <c r="J964" s="8">
        <v>5</v>
      </c>
    </row>
    <row r="965" spans="1:10" x14ac:dyDescent="0.25">
      <c r="A965" s="6">
        <v>522609</v>
      </c>
      <c r="B965" s="7">
        <v>2</v>
      </c>
      <c r="C965" s="7">
        <v>218.20747435321201</v>
      </c>
      <c r="D965" s="7">
        <v>8</v>
      </c>
      <c r="E965" s="1">
        <v>8</v>
      </c>
      <c r="F965" s="7">
        <v>5</v>
      </c>
      <c r="G965" s="7">
        <v>5</v>
      </c>
      <c r="H965" s="7">
        <v>5</v>
      </c>
      <c r="I965" s="7">
        <v>5</v>
      </c>
      <c r="J965" s="8">
        <v>5</v>
      </c>
    </row>
    <row r="966" spans="1:10" hidden="1" x14ac:dyDescent="0.25">
      <c r="A966" s="6">
        <v>522611</v>
      </c>
      <c r="B966" s="7">
        <v>1</v>
      </c>
      <c r="C966" s="7">
        <v>1082.39798327177</v>
      </c>
      <c r="D966" s="7">
        <v>7</v>
      </c>
      <c r="E966" s="1">
        <v>3</v>
      </c>
      <c r="F966" s="7">
        <v>5</v>
      </c>
      <c r="G966" s="7">
        <v>5</v>
      </c>
      <c r="H966" s="7">
        <v>5</v>
      </c>
      <c r="I966" s="7">
        <v>5</v>
      </c>
      <c r="J966" s="8">
        <v>5</v>
      </c>
    </row>
    <row r="967" spans="1:10" hidden="1" x14ac:dyDescent="0.25">
      <c r="A967" s="6">
        <v>522612</v>
      </c>
      <c r="B967" s="7">
        <v>2</v>
      </c>
      <c r="C967" s="7">
        <v>211.21119953197001</v>
      </c>
      <c r="D967" s="7">
        <v>7</v>
      </c>
      <c r="E967" s="1">
        <v>7</v>
      </c>
      <c r="F967" s="7">
        <v>5</v>
      </c>
      <c r="G967" s="7">
        <v>5</v>
      </c>
      <c r="H967" s="7">
        <v>5</v>
      </c>
      <c r="I967" s="7">
        <v>5</v>
      </c>
      <c r="J967" s="8">
        <v>5</v>
      </c>
    </row>
    <row r="968" spans="1:10" hidden="1" x14ac:dyDescent="0.25">
      <c r="A968" s="6">
        <v>522613</v>
      </c>
      <c r="B968" s="7">
        <v>2</v>
      </c>
      <c r="C968" s="7">
        <v>479.03684336287301</v>
      </c>
      <c r="D968" s="7">
        <v>5</v>
      </c>
      <c r="E968" s="1">
        <v>5</v>
      </c>
      <c r="F968" s="7">
        <v>5</v>
      </c>
      <c r="G968" s="7">
        <v>5</v>
      </c>
      <c r="H968" s="7">
        <v>5</v>
      </c>
      <c r="I968" s="7">
        <v>5</v>
      </c>
      <c r="J968" s="8">
        <v>5</v>
      </c>
    </row>
    <row r="969" spans="1:10" hidden="1" x14ac:dyDescent="0.25">
      <c r="A969" s="6">
        <v>522616</v>
      </c>
      <c r="B969" s="7">
        <v>2</v>
      </c>
      <c r="C969" s="7">
        <v>1586.88101096631</v>
      </c>
      <c r="D969" s="7">
        <v>5</v>
      </c>
      <c r="E969" s="1">
        <v>5</v>
      </c>
      <c r="F969" s="7">
        <v>5</v>
      </c>
      <c r="G969" s="7">
        <v>5</v>
      </c>
      <c r="H969" s="7">
        <v>5</v>
      </c>
      <c r="I969" s="7">
        <v>5</v>
      </c>
      <c r="J969" s="8">
        <v>5</v>
      </c>
    </row>
    <row r="970" spans="1:10" hidden="1" x14ac:dyDescent="0.25">
      <c r="A970" s="6">
        <v>522621</v>
      </c>
      <c r="B970" s="7">
        <v>2</v>
      </c>
      <c r="C970" s="7">
        <v>260.39179241867203</v>
      </c>
      <c r="D970" s="7">
        <v>5</v>
      </c>
      <c r="E970" s="1">
        <v>7</v>
      </c>
      <c r="F970" s="7">
        <v>5</v>
      </c>
      <c r="G970" s="7">
        <v>5</v>
      </c>
      <c r="H970" s="7">
        <v>5</v>
      </c>
      <c r="I970" s="7">
        <v>5</v>
      </c>
      <c r="J970" s="8">
        <v>5</v>
      </c>
    </row>
    <row r="971" spans="1:10" hidden="1" x14ac:dyDescent="0.25">
      <c r="A971" s="6">
        <v>522624</v>
      </c>
      <c r="B971" s="7">
        <v>1</v>
      </c>
      <c r="C971" s="7">
        <v>636.73121585999695</v>
      </c>
      <c r="D971" s="7">
        <v>2</v>
      </c>
      <c r="E971" s="1">
        <v>5</v>
      </c>
      <c r="F971" s="7">
        <v>5</v>
      </c>
      <c r="G971" s="7">
        <v>5</v>
      </c>
      <c r="H971" s="7">
        <v>5</v>
      </c>
      <c r="I971" s="7">
        <v>5</v>
      </c>
      <c r="J971" s="8">
        <v>5</v>
      </c>
    </row>
    <row r="972" spans="1:10" hidden="1" x14ac:dyDescent="0.25">
      <c r="A972" s="6">
        <v>522632</v>
      </c>
      <c r="B972" s="7">
        <v>1</v>
      </c>
      <c r="C972" s="7">
        <v>929.16041552426395</v>
      </c>
      <c r="D972" s="7">
        <v>3</v>
      </c>
      <c r="E972" s="1">
        <v>3</v>
      </c>
      <c r="F972" s="7">
        <v>5</v>
      </c>
      <c r="G972" s="7">
        <v>5</v>
      </c>
      <c r="H972" s="7">
        <v>5</v>
      </c>
      <c r="I972" s="7">
        <v>5</v>
      </c>
      <c r="J972" s="8">
        <v>5</v>
      </c>
    </row>
    <row r="973" spans="1:10" hidden="1" x14ac:dyDescent="0.25">
      <c r="A973" s="6">
        <v>522639</v>
      </c>
      <c r="B973" s="7">
        <v>1</v>
      </c>
      <c r="C973" s="7">
        <v>1074.25582988407</v>
      </c>
      <c r="D973" s="7">
        <v>4</v>
      </c>
      <c r="E973" s="1">
        <v>4</v>
      </c>
      <c r="F973" s="7">
        <v>5</v>
      </c>
      <c r="G973" s="7">
        <v>5</v>
      </c>
      <c r="H973" s="7">
        <v>5</v>
      </c>
      <c r="I973" s="7">
        <v>5</v>
      </c>
      <c r="J973" s="8">
        <v>5</v>
      </c>
    </row>
    <row r="974" spans="1:10" hidden="1" x14ac:dyDescent="0.25">
      <c r="A974" s="6">
        <v>522645</v>
      </c>
      <c r="B974" s="7">
        <v>2</v>
      </c>
      <c r="C974" s="7">
        <v>449.19957525676602</v>
      </c>
      <c r="D974" s="7">
        <v>5</v>
      </c>
      <c r="E974" s="1">
        <v>5</v>
      </c>
      <c r="F974" s="7">
        <v>5</v>
      </c>
      <c r="G974" s="7">
        <v>5</v>
      </c>
      <c r="H974" s="7">
        <v>5</v>
      </c>
      <c r="I974" s="7">
        <v>5</v>
      </c>
      <c r="J974" s="8">
        <v>5</v>
      </c>
    </row>
    <row r="975" spans="1:10" hidden="1" x14ac:dyDescent="0.25">
      <c r="A975" s="6">
        <v>522649</v>
      </c>
      <c r="B975" s="7">
        <v>2</v>
      </c>
      <c r="C975" s="7">
        <v>459.51358282821201</v>
      </c>
      <c r="D975" s="7">
        <v>5</v>
      </c>
      <c r="E975" s="1">
        <v>5</v>
      </c>
      <c r="F975" s="7">
        <v>5</v>
      </c>
      <c r="G975" s="7">
        <v>5</v>
      </c>
      <c r="H975" s="7">
        <v>5</v>
      </c>
      <c r="I975" s="7">
        <v>5</v>
      </c>
      <c r="J975" s="8">
        <v>5</v>
      </c>
    </row>
    <row r="976" spans="1:10" hidden="1" x14ac:dyDescent="0.25">
      <c r="A976" s="6">
        <v>522658</v>
      </c>
      <c r="B976" s="7">
        <v>2</v>
      </c>
      <c r="C976" s="7">
        <v>671.63350844301101</v>
      </c>
      <c r="D976" s="7">
        <v>7</v>
      </c>
      <c r="E976" s="1">
        <v>7</v>
      </c>
      <c r="F976" s="7">
        <v>5</v>
      </c>
      <c r="G976" s="7">
        <v>5</v>
      </c>
      <c r="H976" s="7">
        <v>5</v>
      </c>
      <c r="I976" s="7">
        <v>5</v>
      </c>
      <c r="J976" s="8">
        <v>5</v>
      </c>
    </row>
    <row r="977" spans="1:10" hidden="1" x14ac:dyDescent="0.25">
      <c r="A977" s="6">
        <v>522710</v>
      </c>
      <c r="B977" s="7">
        <v>2</v>
      </c>
      <c r="C977" s="7">
        <v>440.85293802190802</v>
      </c>
      <c r="D977" s="7">
        <v>5</v>
      </c>
      <c r="E977" s="1">
        <v>5</v>
      </c>
      <c r="F977" s="7">
        <v>5</v>
      </c>
      <c r="G977" s="7">
        <v>5</v>
      </c>
      <c r="H977" s="7">
        <v>5</v>
      </c>
      <c r="I977" s="7">
        <v>5</v>
      </c>
      <c r="J977" s="8">
        <v>5</v>
      </c>
    </row>
    <row r="978" spans="1:10" hidden="1" x14ac:dyDescent="0.25">
      <c r="A978" s="6">
        <v>522717</v>
      </c>
      <c r="B978" s="7">
        <v>1</v>
      </c>
      <c r="C978" s="7">
        <v>368.25543018062001</v>
      </c>
      <c r="D978" s="7">
        <v>4</v>
      </c>
      <c r="E978" s="1">
        <v>4</v>
      </c>
      <c r="F978" s="7">
        <v>5</v>
      </c>
      <c r="G978" s="7">
        <v>5</v>
      </c>
      <c r="H978" s="7">
        <v>5</v>
      </c>
      <c r="I978" s="7">
        <v>5</v>
      </c>
      <c r="J978" s="8">
        <v>5</v>
      </c>
    </row>
    <row r="979" spans="1:10" hidden="1" x14ac:dyDescent="0.25">
      <c r="A979" s="6">
        <v>522718</v>
      </c>
      <c r="B979" s="7">
        <v>2</v>
      </c>
      <c r="C979" s="7">
        <v>330.37099348140902</v>
      </c>
      <c r="D979" s="7">
        <v>7</v>
      </c>
      <c r="E979" s="1">
        <v>7</v>
      </c>
      <c r="F979" s="7">
        <v>5</v>
      </c>
      <c r="G979" s="7">
        <v>5</v>
      </c>
      <c r="H979" s="7">
        <v>5</v>
      </c>
      <c r="I979" s="7">
        <v>5</v>
      </c>
      <c r="J979" s="8">
        <v>5</v>
      </c>
    </row>
    <row r="980" spans="1:10" hidden="1" x14ac:dyDescent="0.25">
      <c r="A980" s="6">
        <v>522737</v>
      </c>
      <c r="B980" s="7">
        <v>1</v>
      </c>
      <c r="C980" s="7">
        <v>775.84437141744104</v>
      </c>
      <c r="D980" s="7">
        <v>5</v>
      </c>
      <c r="E980" s="1">
        <v>5</v>
      </c>
      <c r="F980" s="7">
        <v>5</v>
      </c>
      <c r="G980" s="7">
        <v>5</v>
      </c>
      <c r="H980" s="7">
        <v>5</v>
      </c>
      <c r="I980" s="7">
        <v>5</v>
      </c>
      <c r="J980" s="8">
        <v>5</v>
      </c>
    </row>
    <row r="981" spans="1:10" x14ac:dyDescent="0.25">
      <c r="A981" s="6">
        <v>522748</v>
      </c>
      <c r="B981" s="7">
        <v>2</v>
      </c>
      <c r="C981" s="7">
        <v>221.24432905318</v>
      </c>
      <c r="D981" s="7">
        <v>9</v>
      </c>
      <c r="E981" s="1">
        <v>9</v>
      </c>
      <c r="F981" s="7">
        <v>5</v>
      </c>
      <c r="G981" s="7">
        <v>5</v>
      </c>
      <c r="H981" s="7">
        <v>5</v>
      </c>
      <c r="I981" s="7">
        <v>5</v>
      </c>
      <c r="J981" s="8">
        <v>5</v>
      </c>
    </row>
    <row r="982" spans="1:10" hidden="1" x14ac:dyDescent="0.25">
      <c r="A982" s="6">
        <v>522749</v>
      </c>
      <c r="B982" s="7">
        <v>2</v>
      </c>
      <c r="C982" s="7">
        <v>58.222827445149498</v>
      </c>
      <c r="D982" s="7">
        <v>5</v>
      </c>
      <c r="E982" s="1">
        <v>5</v>
      </c>
      <c r="F982" s="7">
        <v>5</v>
      </c>
      <c r="G982" s="7">
        <v>5</v>
      </c>
      <c r="H982" s="7">
        <v>5</v>
      </c>
      <c r="I982" s="7">
        <v>5</v>
      </c>
      <c r="J982" s="8">
        <v>5</v>
      </c>
    </row>
    <row r="983" spans="1:10" hidden="1" x14ac:dyDescent="0.25">
      <c r="A983" s="6">
        <v>522759</v>
      </c>
      <c r="B983" s="7">
        <v>2</v>
      </c>
      <c r="C983" s="7">
        <v>77.723284521658201</v>
      </c>
      <c r="D983" s="7">
        <v>7</v>
      </c>
      <c r="E983" s="1">
        <v>7</v>
      </c>
      <c r="F983" s="7">
        <v>5</v>
      </c>
      <c r="G983" s="7">
        <v>5</v>
      </c>
      <c r="H983" s="7">
        <v>5</v>
      </c>
      <c r="I983" s="7">
        <v>5</v>
      </c>
      <c r="J983" s="8">
        <v>5</v>
      </c>
    </row>
    <row r="984" spans="1:10" hidden="1" x14ac:dyDescent="0.25">
      <c r="A984" s="6">
        <v>522765</v>
      </c>
      <c r="B984" s="7">
        <v>2</v>
      </c>
      <c r="C984" s="7">
        <v>834.39722546732196</v>
      </c>
      <c r="D984" s="7">
        <v>5</v>
      </c>
      <c r="E984" s="1">
        <v>5</v>
      </c>
      <c r="F984" s="7">
        <v>5</v>
      </c>
      <c r="G984" s="7">
        <v>5</v>
      </c>
      <c r="H984" s="7">
        <v>5</v>
      </c>
      <c r="I984" s="7">
        <v>5</v>
      </c>
      <c r="J984" s="8">
        <v>5</v>
      </c>
    </row>
    <row r="985" spans="1:10" hidden="1" x14ac:dyDescent="0.25">
      <c r="A985" s="6">
        <v>522769</v>
      </c>
      <c r="B985" s="7">
        <v>2</v>
      </c>
      <c r="C985" s="7">
        <v>586.70550450950702</v>
      </c>
      <c r="D985" s="7">
        <v>5</v>
      </c>
      <c r="E985" s="1">
        <v>8</v>
      </c>
      <c r="F985" s="7">
        <v>5</v>
      </c>
      <c r="G985" s="7">
        <v>5</v>
      </c>
      <c r="H985" s="7">
        <v>5</v>
      </c>
      <c r="I985" s="7">
        <v>5</v>
      </c>
      <c r="J985" s="8">
        <v>5</v>
      </c>
    </row>
    <row r="986" spans="1:10" hidden="1" x14ac:dyDescent="0.25">
      <c r="A986" s="6">
        <v>522787</v>
      </c>
      <c r="B986" s="7">
        <v>1</v>
      </c>
      <c r="C986" s="7">
        <v>1009.97023579505</v>
      </c>
      <c r="D986" s="7">
        <v>2</v>
      </c>
      <c r="E986" s="1">
        <v>5</v>
      </c>
      <c r="F986" s="7">
        <v>5</v>
      </c>
      <c r="G986" s="7">
        <v>5</v>
      </c>
      <c r="H986" s="7">
        <v>5</v>
      </c>
      <c r="I986" s="7">
        <v>5</v>
      </c>
      <c r="J986" s="8">
        <v>5</v>
      </c>
    </row>
    <row r="987" spans="1:10" hidden="1" x14ac:dyDescent="0.25">
      <c r="A987" s="6">
        <v>522833</v>
      </c>
      <c r="B987" s="7">
        <v>1</v>
      </c>
      <c r="C987" s="7">
        <v>462.88182548132801</v>
      </c>
      <c r="D987" s="7">
        <v>2</v>
      </c>
      <c r="E987" s="1">
        <v>4</v>
      </c>
      <c r="F987" s="7">
        <v>5</v>
      </c>
      <c r="G987" s="7">
        <v>5</v>
      </c>
      <c r="H987" s="7">
        <v>5</v>
      </c>
      <c r="I987" s="7">
        <v>5</v>
      </c>
      <c r="J987" s="8">
        <v>5</v>
      </c>
    </row>
    <row r="988" spans="1:10" hidden="1" x14ac:dyDescent="0.25">
      <c r="A988" s="6">
        <v>522860</v>
      </c>
      <c r="B988" s="7">
        <v>2</v>
      </c>
      <c r="C988" s="7">
        <v>369.04206681644501</v>
      </c>
      <c r="D988" s="7">
        <v>7</v>
      </c>
      <c r="E988" s="1">
        <v>7</v>
      </c>
      <c r="F988" s="7">
        <v>5</v>
      </c>
      <c r="G988" s="7">
        <v>5</v>
      </c>
      <c r="H988" s="7">
        <v>5</v>
      </c>
      <c r="I988" s="7">
        <v>5</v>
      </c>
      <c r="J988" s="8">
        <v>5</v>
      </c>
    </row>
    <row r="989" spans="1:10" hidden="1" x14ac:dyDescent="0.25">
      <c r="A989" s="6">
        <v>522896</v>
      </c>
      <c r="B989" s="7">
        <v>2</v>
      </c>
      <c r="C989" s="7">
        <v>22.9095277405765</v>
      </c>
      <c r="D989" s="7">
        <v>7</v>
      </c>
      <c r="E989" s="1">
        <v>7</v>
      </c>
      <c r="F989" s="7">
        <v>5</v>
      </c>
      <c r="G989" s="7">
        <v>5</v>
      </c>
      <c r="H989" s="7">
        <v>5</v>
      </c>
      <c r="I989" s="7">
        <v>5</v>
      </c>
      <c r="J989" s="8">
        <v>5</v>
      </c>
    </row>
    <row r="990" spans="1:10" x14ac:dyDescent="0.25">
      <c r="A990" s="6">
        <v>522903</v>
      </c>
      <c r="B990" s="7">
        <v>2</v>
      </c>
      <c r="C990" s="7">
        <v>878.34235216643197</v>
      </c>
      <c r="D990" s="7">
        <v>8</v>
      </c>
      <c r="E990" s="1">
        <v>8</v>
      </c>
      <c r="F990" s="7">
        <v>5</v>
      </c>
      <c r="G990" s="7">
        <v>5</v>
      </c>
      <c r="H990" s="7">
        <v>5</v>
      </c>
      <c r="I990" s="7">
        <v>5</v>
      </c>
      <c r="J990" s="8">
        <v>5</v>
      </c>
    </row>
    <row r="991" spans="1:10" hidden="1" x14ac:dyDescent="0.25">
      <c r="A991" s="6">
        <v>522946</v>
      </c>
      <c r="B991" s="7">
        <v>2</v>
      </c>
      <c r="C991" s="7">
        <v>399.98297527070702</v>
      </c>
      <c r="D991" s="7">
        <v>7</v>
      </c>
      <c r="E991" s="1">
        <v>7</v>
      </c>
      <c r="F991" s="7">
        <v>5</v>
      </c>
      <c r="G991" s="7">
        <v>5</v>
      </c>
      <c r="H991" s="7">
        <v>5</v>
      </c>
      <c r="I991" s="7">
        <v>5</v>
      </c>
      <c r="J991" s="8">
        <v>5</v>
      </c>
    </row>
    <row r="992" spans="1:10" hidden="1" x14ac:dyDescent="0.25">
      <c r="A992" s="6">
        <v>522965</v>
      </c>
      <c r="B992" s="7">
        <v>1</v>
      </c>
      <c r="C992" s="7">
        <v>353.18263761691998</v>
      </c>
      <c r="D992" s="7">
        <v>1</v>
      </c>
      <c r="E992" s="1">
        <v>3</v>
      </c>
      <c r="F992" s="7">
        <v>5</v>
      </c>
      <c r="G992" s="7">
        <v>5</v>
      </c>
      <c r="H992" s="7">
        <v>5</v>
      </c>
      <c r="I992" s="7">
        <v>5</v>
      </c>
      <c r="J992" s="8">
        <v>5</v>
      </c>
    </row>
    <row r="993" spans="1:10" hidden="1" x14ac:dyDescent="0.25">
      <c r="A993" s="6">
        <v>523012</v>
      </c>
      <c r="B993" s="7">
        <v>2</v>
      </c>
      <c r="C993" s="7">
        <v>98.111499046737407</v>
      </c>
      <c r="D993" s="7">
        <v>5</v>
      </c>
      <c r="E993" s="1">
        <v>5</v>
      </c>
      <c r="F993" s="7">
        <v>5</v>
      </c>
      <c r="G993" s="7">
        <v>5</v>
      </c>
      <c r="H993" s="7">
        <v>5</v>
      </c>
      <c r="I993" s="7">
        <v>5</v>
      </c>
      <c r="J993" s="8">
        <v>5</v>
      </c>
    </row>
    <row r="994" spans="1:10" hidden="1" x14ac:dyDescent="0.25">
      <c r="A994" s="6">
        <v>523015</v>
      </c>
      <c r="B994" s="7">
        <v>2</v>
      </c>
      <c r="C994" s="7">
        <v>167.705982533927</v>
      </c>
      <c r="D994" s="7">
        <v>5</v>
      </c>
      <c r="E994" s="1">
        <v>7</v>
      </c>
      <c r="F994" s="7">
        <v>5</v>
      </c>
      <c r="G994" s="7">
        <v>5</v>
      </c>
      <c r="H994" s="7">
        <v>5</v>
      </c>
      <c r="I994" s="7">
        <v>5</v>
      </c>
      <c r="J994" s="8">
        <v>5</v>
      </c>
    </row>
    <row r="995" spans="1:10" hidden="1" x14ac:dyDescent="0.25">
      <c r="A995" s="6">
        <v>523046</v>
      </c>
      <c r="B995" s="7">
        <v>1</v>
      </c>
      <c r="C995" s="7">
        <v>182.376581242469</v>
      </c>
      <c r="D995" s="7">
        <v>1</v>
      </c>
      <c r="E995" s="1">
        <v>4</v>
      </c>
      <c r="F995" s="7">
        <v>5</v>
      </c>
      <c r="G995" s="7">
        <v>5</v>
      </c>
      <c r="H995" s="7">
        <v>5</v>
      </c>
      <c r="I995" s="7">
        <v>5</v>
      </c>
      <c r="J995" s="8">
        <v>5</v>
      </c>
    </row>
    <row r="996" spans="1:10" hidden="1" x14ac:dyDescent="0.25">
      <c r="A996" s="6">
        <v>523057</v>
      </c>
      <c r="B996" s="7">
        <v>1</v>
      </c>
      <c r="C996" s="7">
        <v>13.4554312195755</v>
      </c>
      <c r="D996" s="7">
        <v>1</v>
      </c>
      <c r="E996" s="1">
        <v>3</v>
      </c>
      <c r="F996" s="7">
        <v>5</v>
      </c>
      <c r="G996" s="7">
        <v>5</v>
      </c>
      <c r="H996" s="7">
        <v>5</v>
      </c>
      <c r="I996" s="7">
        <v>5</v>
      </c>
      <c r="J996" s="8">
        <v>5</v>
      </c>
    </row>
    <row r="997" spans="1:10" hidden="1" x14ac:dyDescent="0.25">
      <c r="A997" s="6">
        <v>523078</v>
      </c>
      <c r="B997" s="7">
        <v>2</v>
      </c>
      <c r="C997" s="7">
        <v>427.45715957399301</v>
      </c>
      <c r="D997" s="7">
        <v>7</v>
      </c>
      <c r="E997" s="1">
        <v>7</v>
      </c>
      <c r="F997" s="7">
        <v>5</v>
      </c>
      <c r="G997" s="7">
        <v>5</v>
      </c>
      <c r="H997" s="7">
        <v>5</v>
      </c>
      <c r="I997" s="7">
        <v>5</v>
      </c>
      <c r="J997" s="8">
        <v>5</v>
      </c>
    </row>
    <row r="998" spans="1:10" hidden="1" x14ac:dyDescent="0.25">
      <c r="A998" s="6">
        <v>523209</v>
      </c>
      <c r="B998" s="7">
        <v>2</v>
      </c>
      <c r="C998" s="7">
        <v>424.21257849241101</v>
      </c>
      <c r="D998" s="7">
        <v>5</v>
      </c>
      <c r="E998" s="1">
        <v>5</v>
      </c>
      <c r="F998" s="7">
        <v>5</v>
      </c>
      <c r="G998" s="7">
        <v>5</v>
      </c>
      <c r="H998" s="7">
        <v>5</v>
      </c>
      <c r="I998" s="7">
        <v>5</v>
      </c>
      <c r="J998" s="8">
        <v>5</v>
      </c>
    </row>
    <row r="999" spans="1:10" x14ac:dyDescent="0.25">
      <c r="A999" s="6">
        <v>523247</v>
      </c>
      <c r="B999" s="7">
        <v>2</v>
      </c>
      <c r="C999" s="7">
        <v>816.58636966808501</v>
      </c>
      <c r="D999" s="7">
        <v>8</v>
      </c>
      <c r="E999" s="1">
        <v>8</v>
      </c>
      <c r="F999" s="7">
        <v>5</v>
      </c>
      <c r="G999" s="7">
        <v>5</v>
      </c>
      <c r="H999" s="7">
        <v>5</v>
      </c>
      <c r="I999" s="7">
        <v>5</v>
      </c>
      <c r="J999" s="8">
        <v>5</v>
      </c>
    </row>
    <row r="1000" spans="1:10" hidden="1" x14ac:dyDescent="0.25">
      <c r="A1000" s="6">
        <v>523251</v>
      </c>
      <c r="B1000" s="7">
        <v>2</v>
      </c>
      <c r="C1000" s="7">
        <v>710.64202107790402</v>
      </c>
      <c r="D1000" s="7">
        <v>7</v>
      </c>
      <c r="E1000" s="1">
        <v>7</v>
      </c>
      <c r="F1000" s="7">
        <v>5</v>
      </c>
      <c r="G1000" s="7">
        <v>5</v>
      </c>
      <c r="H1000" s="7">
        <v>5</v>
      </c>
      <c r="I1000" s="7">
        <v>5</v>
      </c>
      <c r="J1000" s="8">
        <v>5</v>
      </c>
    </row>
    <row r="1001" spans="1:10" hidden="1" x14ac:dyDescent="0.25">
      <c r="A1001" s="6">
        <v>523272</v>
      </c>
      <c r="B1001" s="7">
        <v>1</v>
      </c>
      <c r="C1001" s="7">
        <v>201.890383635304</v>
      </c>
      <c r="D1001" s="7">
        <v>2</v>
      </c>
      <c r="E1001" s="1">
        <v>4</v>
      </c>
      <c r="F1001" s="7">
        <v>5</v>
      </c>
      <c r="G1001" s="7">
        <v>5</v>
      </c>
      <c r="H1001" s="7">
        <v>5</v>
      </c>
      <c r="I1001" s="7">
        <v>5</v>
      </c>
      <c r="J1001" s="8">
        <v>5</v>
      </c>
    </row>
    <row r="1002" spans="1:10" hidden="1" x14ac:dyDescent="0.25">
      <c r="A1002" s="6">
        <v>523276</v>
      </c>
      <c r="B1002" s="7">
        <v>1</v>
      </c>
      <c r="C1002" s="7">
        <v>384.40251608023198</v>
      </c>
      <c r="D1002" s="7">
        <v>5</v>
      </c>
      <c r="E1002" s="1">
        <v>5</v>
      </c>
      <c r="F1002" s="7">
        <v>5</v>
      </c>
      <c r="G1002" s="7">
        <v>5</v>
      </c>
      <c r="H1002" s="7">
        <v>5</v>
      </c>
      <c r="I1002" s="7">
        <v>5</v>
      </c>
      <c r="J1002" s="8">
        <v>5</v>
      </c>
    </row>
    <row r="1003" spans="1:10" hidden="1" x14ac:dyDescent="0.25">
      <c r="A1003" s="6">
        <v>523292</v>
      </c>
      <c r="B1003" s="7">
        <v>1</v>
      </c>
      <c r="C1003" s="7">
        <v>1349.5764323594001</v>
      </c>
      <c r="D1003" s="7">
        <v>2</v>
      </c>
      <c r="E1003" s="1">
        <v>4</v>
      </c>
      <c r="F1003" s="7">
        <v>5</v>
      </c>
      <c r="G1003" s="7">
        <v>5</v>
      </c>
      <c r="H1003" s="7">
        <v>5</v>
      </c>
      <c r="I1003" s="7">
        <v>5</v>
      </c>
      <c r="J1003" s="8">
        <v>5</v>
      </c>
    </row>
    <row r="1004" spans="1:10" hidden="1" x14ac:dyDescent="0.25">
      <c r="A1004" s="6">
        <v>523308</v>
      </c>
      <c r="B1004" s="7">
        <v>1</v>
      </c>
      <c r="C1004" s="7">
        <v>326.96924394899497</v>
      </c>
      <c r="D1004" s="7">
        <v>4</v>
      </c>
      <c r="E1004" s="1">
        <v>4</v>
      </c>
      <c r="F1004" s="7">
        <v>5</v>
      </c>
      <c r="G1004" s="7">
        <v>5</v>
      </c>
      <c r="H1004" s="7">
        <v>5</v>
      </c>
      <c r="I1004" s="7">
        <v>5</v>
      </c>
      <c r="J1004" s="8">
        <v>5</v>
      </c>
    </row>
    <row r="1005" spans="1:10" hidden="1" x14ac:dyDescent="0.25">
      <c r="A1005" s="6">
        <v>523320</v>
      </c>
      <c r="B1005" s="7">
        <v>2</v>
      </c>
      <c r="C1005" s="7">
        <v>785.28974209646003</v>
      </c>
      <c r="D1005" s="7">
        <v>5</v>
      </c>
      <c r="E1005" s="1">
        <v>5</v>
      </c>
      <c r="F1005" s="7">
        <v>5</v>
      </c>
      <c r="G1005" s="7">
        <v>5</v>
      </c>
      <c r="H1005" s="7">
        <v>5</v>
      </c>
      <c r="I1005" s="7">
        <v>5</v>
      </c>
      <c r="J1005" s="8">
        <v>5</v>
      </c>
    </row>
    <row r="1006" spans="1:10" hidden="1" x14ac:dyDescent="0.25">
      <c r="A1006" s="6">
        <v>523327</v>
      </c>
      <c r="B1006" s="7">
        <v>1</v>
      </c>
      <c r="C1006" s="7">
        <v>989.78267318362396</v>
      </c>
      <c r="D1006" s="7">
        <v>4</v>
      </c>
      <c r="E1006" s="1">
        <v>4</v>
      </c>
      <c r="F1006" s="7">
        <v>5</v>
      </c>
      <c r="G1006" s="7">
        <v>5</v>
      </c>
      <c r="H1006" s="7">
        <v>5</v>
      </c>
      <c r="I1006" s="7">
        <v>5</v>
      </c>
      <c r="J1006" s="8">
        <v>5</v>
      </c>
    </row>
    <row r="1007" spans="1:10" hidden="1" x14ac:dyDescent="0.25">
      <c r="A1007" s="6">
        <v>523335</v>
      </c>
      <c r="B1007" s="7">
        <v>2</v>
      </c>
      <c r="C1007" s="7">
        <v>117.035569263718</v>
      </c>
      <c r="D1007" s="7">
        <v>4</v>
      </c>
      <c r="E1007" s="1">
        <v>4</v>
      </c>
      <c r="F1007" s="7">
        <v>5</v>
      </c>
      <c r="G1007" s="7">
        <v>5</v>
      </c>
      <c r="H1007" s="7">
        <v>5</v>
      </c>
      <c r="I1007" s="7">
        <v>5</v>
      </c>
      <c r="J1007" s="8">
        <v>5</v>
      </c>
    </row>
    <row r="1008" spans="1:10" hidden="1" x14ac:dyDescent="0.25">
      <c r="A1008" s="6">
        <v>523379</v>
      </c>
      <c r="B1008" s="7">
        <v>2</v>
      </c>
      <c r="C1008" s="7">
        <v>443.62413630103703</v>
      </c>
      <c r="D1008" s="7">
        <v>5</v>
      </c>
      <c r="E1008" s="1">
        <v>5</v>
      </c>
      <c r="F1008" s="7">
        <v>5</v>
      </c>
      <c r="G1008" s="7">
        <v>5</v>
      </c>
      <c r="H1008" s="7">
        <v>5</v>
      </c>
      <c r="I1008" s="7">
        <v>5</v>
      </c>
      <c r="J1008" s="8">
        <v>5</v>
      </c>
    </row>
    <row r="1009" spans="1:10" hidden="1" x14ac:dyDescent="0.25">
      <c r="A1009" s="6">
        <v>523405</v>
      </c>
      <c r="B1009" s="7">
        <v>2</v>
      </c>
      <c r="C1009" s="7">
        <v>96.309495503982006</v>
      </c>
      <c r="D1009" s="7">
        <v>7</v>
      </c>
      <c r="E1009" s="1">
        <v>7</v>
      </c>
      <c r="F1009" s="7">
        <v>5</v>
      </c>
      <c r="G1009" s="7">
        <v>5</v>
      </c>
      <c r="H1009" s="7">
        <v>5</v>
      </c>
      <c r="I1009" s="7">
        <v>5</v>
      </c>
      <c r="J1009" s="8">
        <v>5</v>
      </c>
    </row>
    <row r="1010" spans="1:10" hidden="1" x14ac:dyDescent="0.25">
      <c r="A1010" s="6">
        <v>523464</v>
      </c>
      <c r="B1010" s="7">
        <v>1</v>
      </c>
      <c r="C1010" s="7">
        <v>706.03109034926604</v>
      </c>
      <c r="D1010" s="7">
        <v>2</v>
      </c>
      <c r="E1010" s="1">
        <v>5</v>
      </c>
      <c r="F1010" s="7">
        <v>5</v>
      </c>
      <c r="G1010" s="7">
        <v>5</v>
      </c>
      <c r="H1010" s="7">
        <v>5</v>
      </c>
      <c r="I1010" s="7">
        <v>5</v>
      </c>
      <c r="J1010" s="8">
        <v>5</v>
      </c>
    </row>
    <row r="1011" spans="1:10" hidden="1" x14ac:dyDescent="0.25">
      <c r="A1011" s="6">
        <v>523469</v>
      </c>
      <c r="B1011" s="7">
        <v>2</v>
      </c>
      <c r="C1011" s="7">
        <v>1007.18553838336</v>
      </c>
      <c r="D1011" s="7">
        <v>5</v>
      </c>
      <c r="E1011" s="1">
        <v>4</v>
      </c>
      <c r="F1011" s="7">
        <v>5</v>
      </c>
      <c r="G1011" s="7">
        <v>5</v>
      </c>
      <c r="H1011" s="7">
        <v>5</v>
      </c>
      <c r="I1011" s="7">
        <v>5</v>
      </c>
      <c r="J1011" s="8">
        <v>5</v>
      </c>
    </row>
    <row r="1012" spans="1:10" x14ac:dyDescent="0.25">
      <c r="A1012" s="6">
        <v>523476</v>
      </c>
      <c r="B1012" s="7">
        <v>2</v>
      </c>
      <c r="C1012" s="7">
        <v>163.58085961270299</v>
      </c>
      <c r="D1012" s="7">
        <v>6</v>
      </c>
      <c r="E1012" s="1">
        <v>6</v>
      </c>
      <c r="F1012" s="7">
        <v>5</v>
      </c>
      <c r="G1012" s="7">
        <v>5</v>
      </c>
      <c r="H1012" s="7">
        <v>5</v>
      </c>
      <c r="I1012" s="7">
        <v>5</v>
      </c>
      <c r="J1012" s="8">
        <v>5</v>
      </c>
    </row>
    <row r="1013" spans="1:10" hidden="1" x14ac:dyDescent="0.25">
      <c r="A1013" s="6">
        <v>523477</v>
      </c>
      <c r="B1013" s="7">
        <v>2</v>
      </c>
      <c r="C1013" s="7">
        <v>111.894728578593</v>
      </c>
      <c r="D1013" s="7">
        <v>7</v>
      </c>
      <c r="E1013" s="1">
        <v>7</v>
      </c>
      <c r="F1013" s="7">
        <v>5</v>
      </c>
      <c r="G1013" s="7">
        <v>5</v>
      </c>
      <c r="H1013" s="7">
        <v>5</v>
      </c>
      <c r="I1013" s="7">
        <v>5</v>
      </c>
      <c r="J1013" s="8">
        <v>5</v>
      </c>
    </row>
    <row r="1014" spans="1:10" hidden="1" x14ac:dyDescent="0.25">
      <c r="A1014" s="6">
        <v>523495</v>
      </c>
      <c r="B1014" s="7">
        <v>2</v>
      </c>
      <c r="C1014" s="7">
        <v>20.0388506118504</v>
      </c>
      <c r="D1014" s="7">
        <v>7</v>
      </c>
      <c r="E1014" s="1">
        <v>7</v>
      </c>
      <c r="F1014" s="7">
        <v>5</v>
      </c>
      <c r="G1014" s="7">
        <v>5</v>
      </c>
      <c r="H1014" s="7">
        <v>5</v>
      </c>
      <c r="I1014" s="7">
        <v>5</v>
      </c>
      <c r="J1014" s="8">
        <v>5</v>
      </c>
    </row>
    <row r="1015" spans="1:10" hidden="1" x14ac:dyDescent="0.25">
      <c r="A1015" s="6">
        <v>523501</v>
      </c>
      <c r="B1015" s="7">
        <v>1</v>
      </c>
      <c r="C1015" s="7">
        <v>1006.61487958993</v>
      </c>
      <c r="D1015" s="7">
        <v>5</v>
      </c>
      <c r="E1015" s="1">
        <v>5</v>
      </c>
      <c r="F1015" s="7">
        <v>5</v>
      </c>
      <c r="G1015" s="7">
        <v>5</v>
      </c>
      <c r="H1015" s="7">
        <v>5</v>
      </c>
      <c r="I1015" s="7">
        <v>5</v>
      </c>
      <c r="J1015" s="8">
        <v>5</v>
      </c>
    </row>
    <row r="1016" spans="1:10" hidden="1" x14ac:dyDescent="0.25">
      <c r="A1016" s="6">
        <v>523527</v>
      </c>
      <c r="B1016" s="7">
        <v>2</v>
      </c>
      <c r="C1016" s="7">
        <v>1686.1679588586901</v>
      </c>
      <c r="D1016" s="7">
        <v>7</v>
      </c>
      <c r="E1016" s="1">
        <v>7</v>
      </c>
      <c r="F1016" s="7">
        <v>5</v>
      </c>
      <c r="G1016" s="7">
        <v>5</v>
      </c>
      <c r="H1016" s="7">
        <v>5</v>
      </c>
      <c r="I1016" s="7">
        <v>5</v>
      </c>
      <c r="J1016" s="8">
        <v>5</v>
      </c>
    </row>
    <row r="1017" spans="1:10" x14ac:dyDescent="0.25">
      <c r="A1017" s="6">
        <v>523552</v>
      </c>
      <c r="B1017" s="7">
        <v>2</v>
      </c>
      <c r="C1017" s="7">
        <v>397.71913984008302</v>
      </c>
      <c r="D1017" s="7">
        <v>6</v>
      </c>
      <c r="E1017" s="1">
        <v>5</v>
      </c>
      <c r="F1017" s="7">
        <v>5</v>
      </c>
      <c r="G1017" s="7">
        <v>5</v>
      </c>
      <c r="H1017" s="7">
        <v>5</v>
      </c>
      <c r="I1017" s="7">
        <v>5</v>
      </c>
      <c r="J1017" s="8">
        <v>5</v>
      </c>
    </row>
    <row r="1018" spans="1:10" hidden="1" x14ac:dyDescent="0.25">
      <c r="A1018" s="6">
        <v>523556</v>
      </c>
      <c r="B1018" s="7">
        <v>1</v>
      </c>
      <c r="C1018" s="7">
        <v>877.09023501563001</v>
      </c>
      <c r="D1018" s="7">
        <v>5</v>
      </c>
      <c r="E1018" s="1">
        <v>5</v>
      </c>
      <c r="F1018" s="7">
        <v>5</v>
      </c>
      <c r="G1018" s="7">
        <v>5</v>
      </c>
      <c r="H1018" s="7">
        <v>5</v>
      </c>
      <c r="I1018" s="7">
        <v>5</v>
      </c>
      <c r="J1018" s="8">
        <v>5</v>
      </c>
    </row>
    <row r="1019" spans="1:10" hidden="1" x14ac:dyDescent="0.25">
      <c r="A1019" s="6">
        <v>523564</v>
      </c>
      <c r="B1019" s="7">
        <v>1</v>
      </c>
      <c r="C1019" s="7">
        <v>1189.7509213204801</v>
      </c>
      <c r="D1019" s="7">
        <v>5</v>
      </c>
      <c r="E1019" s="1">
        <v>5</v>
      </c>
      <c r="F1019" s="7">
        <v>5</v>
      </c>
      <c r="G1019" s="7">
        <v>5</v>
      </c>
      <c r="H1019" s="7">
        <v>5</v>
      </c>
      <c r="I1019" s="7">
        <v>5</v>
      </c>
      <c r="J1019" s="8">
        <v>5</v>
      </c>
    </row>
    <row r="1020" spans="1:10" x14ac:dyDescent="0.25">
      <c r="A1020" s="6">
        <v>523584</v>
      </c>
      <c r="B1020" s="7">
        <v>2</v>
      </c>
      <c r="C1020" s="7">
        <v>690.13722758416395</v>
      </c>
      <c r="D1020" s="7">
        <v>6</v>
      </c>
      <c r="E1020" s="1">
        <v>5</v>
      </c>
      <c r="F1020" s="7">
        <v>5</v>
      </c>
      <c r="G1020" s="7">
        <v>5</v>
      </c>
      <c r="H1020" s="7">
        <v>5</v>
      </c>
      <c r="I1020" s="7">
        <v>5</v>
      </c>
      <c r="J1020" s="8">
        <v>5</v>
      </c>
    </row>
    <row r="1021" spans="1:10" hidden="1" x14ac:dyDescent="0.25">
      <c r="A1021" s="6">
        <v>523615</v>
      </c>
      <c r="B1021" s="7">
        <v>1</v>
      </c>
      <c r="C1021" s="7">
        <v>532.61661844132004</v>
      </c>
      <c r="D1021" s="7">
        <v>2</v>
      </c>
      <c r="E1021" s="1">
        <v>5</v>
      </c>
      <c r="F1021" s="7">
        <v>5</v>
      </c>
      <c r="G1021" s="7">
        <v>1</v>
      </c>
      <c r="H1021" s="7">
        <v>1</v>
      </c>
      <c r="I1021" s="7">
        <v>5</v>
      </c>
      <c r="J1021" s="8">
        <v>5</v>
      </c>
    </row>
    <row r="1022" spans="1:10" hidden="1" x14ac:dyDescent="0.25">
      <c r="A1022" s="6">
        <v>523646</v>
      </c>
      <c r="B1022" s="7">
        <v>2</v>
      </c>
      <c r="C1022" s="7">
        <v>790.05147619429397</v>
      </c>
      <c r="D1022" s="7">
        <v>5</v>
      </c>
      <c r="E1022" s="1">
        <v>5</v>
      </c>
      <c r="F1022" s="7">
        <v>5</v>
      </c>
      <c r="G1022" s="7">
        <v>5</v>
      </c>
      <c r="H1022" s="7">
        <v>5</v>
      </c>
      <c r="I1022" s="7">
        <v>5</v>
      </c>
      <c r="J1022" s="8">
        <v>5</v>
      </c>
    </row>
    <row r="1023" spans="1:10" x14ac:dyDescent="0.25">
      <c r="A1023" s="6">
        <v>523651</v>
      </c>
      <c r="B1023" s="7">
        <v>2</v>
      </c>
      <c r="C1023" s="7">
        <v>402.81565087932501</v>
      </c>
      <c r="D1023" s="7">
        <v>6</v>
      </c>
      <c r="E1023" s="1">
        <v>5</v>
      </c>
      <c r="F1023" s="7">
        <v>5</v>
      </c>
      <c r="G1023" s="7">
        <v>5</v>
      </c>
      <c r="H1023" s="7">
        <v>5</v>
      </c>
      <c r="I1023" s="7">
        <v>5</v>
      </c>
      <c r="J1023" s="8">
        <v>5</v>
      </c>
    </row>
    <row r="1024" spans="1:10" hidden="1" x14ac:dyDescent="0.25">
      <c r="A1024" s="6">
        <v>523679</v>
      </c>
      <c r="B1024" s="7">
        <v>1</v>
      </c>
      <c r="C1024" s="7">
        <v>1063.9753495832001</v>
      </c>
      <c r="D1024" s="7">
        <v>3</v>
      </c>
      <c r="E1024" s="1">
        <v>3</v>
      </c>
      <c r="F1024" s="7">
        <v>5</v>
      </c>
      <c r="G1024" s="7">
        <v>5</v>
      </c>
      <c r="H1024" s="7">
        <v>5</v>
      </c>
      <c r="I1024" s="7">
        <v>5</v>
      </c>
      <c r="J1024" s="8">
        <v>5</v>
      </c>
    </row>
    <row r="1025" spans="1:10" hidden="1" x14ac:dyDescent="0.25">
      <c r="A1025" s="6">
        <v>523716</v>
      </c>
      <c r="B1025" s="7">
        <v>1</v>
      </c>
      <c r="C1025" s="7">
        <v>1159.3291919866499</v>
      </c>
      <c r="D1025" s="7">
        <v>2</v>
      </c>
      <c r="E1025" s="1">
        <v>7</v>
      </c>
      <c r="F1025" s="7">
        <v>5</v>
      </c>
      <c r="G1025" s="7">
        <v>5</v>
      </c>
      <c r="H1025" s="7">
        <v>5</v>
      </c>
      <c r="I1025" s="7">
        <v>5</v>
      </c>
      <c r="J1025" s="8">
        <v>5</v>
      </c>
    </row>
    <row r="1026" spans="1:10" hidden="1" x14ac:dyDescent="0.25">
      <c r="A1026" s="6">
        <v>523750</v>
      </c>
      <c r="B1026" s="7">
        <v>2</v>
      </c>
      <c r="C1026" s="7">
        <v>720.62040492383505</v>
      </c>
      <c r="D1026" s="7">
        <v>5</v>
      </c>
      <c r="E1026" s="1">
        <v>5</v>
      </c>
      <c r="F1026" s="7">
        <v>5</v>
      </c>
      <c r="G1026" s="7">
        <v>5</v>
      </c>
      <c r="H1026" s="7">
        <v>5</v>
      </c>
      <c r="I1026" s="7">
        <v>5</v>
      </c>
      <c r="J1026" s="8">
        <v>5</v>
      </c>
    </row>
    <row r="1027" spans="1:10" hidden="1" x14ac:dyDescent="0.25">
      <c r="A1027" s="6">
        <v>523775</v>
      </c>
      <c r="B1027" s="7">
        <v>2</v>
      </c>
      <c r="C1027" s="7">
        <v>381.13107200077502</v>
      </c>
      <c r="D1027" s="7">
        <v>5</v>
      </c>
      <c r="E1027" s="1">
        <v>9</v>
      </c>
      <c r="F1027" s="7">
        <v>5</v>
      </c>
      <c r="G1027" s="7">
        <v>5</v>
      </c>
      <c r="H1027" s="7">
        <v>5</v>
      </c>
      <c r="I1027" s="7">
        <v>5</v>
      </c>
      <c r="J1027" s="8">
        <v>5</v>
      </c>
    </row>
    <row r="1028" spans="1:10" hidden="1" x14ac:dyDescent="0.25">
      <c r="A1028" s="6">
        <v>523787</v>
      </c>
      <c r="B1028" s="7">
        <v>1</v>
      </c>
      <c r="C1028" s="7">
        <v>600.54615106931601</v>
      </c>
      <c r="D1028" s="7">
        <v>3</v>
      </c>
      <c r="E1028" s="1">
        <v>3</v>
      </c>
      <c r="F1028" s="7">
        <v>5</v>
      </c>
      <c r="G1028" s="7">
        <v>5</v>
      </c>
      <c r="H1028" s="7">
        <v>5</v>
      </c>
      <c r="I1028" s="7">
        <v>5</v>
      </c>
      <c r="J1028" s="8">
        <v>5</v>
      </c>
    </row>
    <row r="1029" spans="1:10" x14ac:dyDescent="0.25">
      <c r="A1029" s="6">
        <v>523834</v>
      </c>
      <c r="B1029" s="7">
        <v>2</v>
      </c>
      <c r="C1029" s="7">
        <v>401.04290173566102</v>
      </c>
      <c r="D1029" s="7">
        <v>6</v>
      </c>
      <c r="E1029" s="1">
        <v>7</v>
      </c>
      <c r="F1029" s="7">
        <v>5</v>
      </c>
      <c r="G1029" s="7">
        <v>5</v>
      </c>
      <c r="H1029" s="7">
        <v>5</v>
      </c>
      <c r="I1029" s="7">
        <v>5</v>
      </c>
      <c r="J1029" s="8">
        <v>5</v>
      </c>
    </row>
    <row r="1030" spans="1:10" hidden="1" x14ac:dyDescent="0.25">
      <c r="A1030" s="6">
        <v>523852</v>
      </c>
      <c r="B1030" s="7">
        <v>2</v>
      </c>
      <c r="C1030" s="7">
        <v>136.51575163151</v>
      </c>
      <c r="D1030" s="7">
        <v>5</v>
      </c>
      <c r="E1030" s="1">
        <v>5</v>
      </c>
      <c r="F1030" s="7">
        <v>5</v>
      </c>
      <c r="G1030" s="7">
        <v>5</v>
      </c>
      <c r="H1030" s="7">
        <v>5</v>
      </c>
      <c r="I1030" s="7">
        <v>5</v>
      </c>
      <c r="J1030" s="8">
        <v>5</v>
      </c>
    </row>
    <row r="1031" spans="1:10" hidden="1" x14ac:dyDescent="0.25">
      <c r="A1031" s="6">
        <v>523854</v>
      </c>
      <c r="B1031" s="7">
        <v>1</v>
      </c>
      <c r="C1031" s="7">
        <v>511.21581035138303</v>
      </c>
      <c r="D1031" s="7">
        <v>4</v>
      </c>
      <c r="E1031" s="1">
        <v>4</v>
      </c>
      <c r="F1031" s="7">
        <v>5</v>
      </c>
      <c r="G1031" s="7">
        <v>5</v>
      </c>
      <c r="H1031" s="7">
        <v>5</v>
      </c>
      <c r="I1031" s="7">
        <v>5</v>
      </c>
      <c r="J1031" s="8">
        <v>5</v>
      </c>
    </row>
    <row r="1032" spans="1:10" hidden="1" x14ac:dyDescent="0.25">
      <c r="A1032" s="6">
        <v>523855</v>
      </c>
      <c r="B1032" s="7">
        <v>1</v>
      </c>
      <c r="C1032" s="7">
        <v>915.53101824809403</v>
      </c>
      <c r="D1032" s="7">
        <v>5</v>
      </c>
      <c r="E1032" s="1">
        <v>5</v>
      </c>
      <c r="F1032" s="7">
        <v>5</v>
      </c>
      <c r="G1032" s="7">
        <v>5</v>
      </c>
      <c r="H1032" s="7">
        <v>5</v>
      </c>
      <c r="I1032" s="7">
        <v>5</v>
      </c>
      <c r="J1032" s="8">
        <v>5</v>
      </c>
    </row>
    <row r="1033" spans="1:10" hidden="1" x14ac:dyDescent="0.25">
      <c r="A1033" s="6">
        <v>523858</v>
      </c>
      <c r="B1033" s="7">
        <v>2</v>
      </c>
      <c r="C1033" s="7">
        <v>488.27891976311997</v>
      </c>
      <c r="D1033" s="7">
        <v>5</v>
      </c>
      <c r="E1033" s="1">
        <v>5</v>
      </c>
      <c r="F1033" s="7">
        <v>5</v>
      </c>
      <c r="G1033" s="7">
        <v>5</v>
      </c>
      <c r="H1033" s="7">
        <v>5</v>
      </c>
      <c r="I1033" s="7">
        <v>5</v>
      </c>
      <c r="J1033" s="8">
        <v>5</v>
      </c>
    </row>
    <row r="1034" spans="1:10" hidden="1" x14ac:dyDescent="0.25">
      <c r="A1034" s="6">
        <v>523861</v>
      </c>
      <c r="B1034" s="7">
        <v>2</v>
      </c>
      <c r="C1034" s="7">
        <v>91.0208449858374</v>
      </c>
      <c r="D1034" s="7">
        <v>7</v>
      </c>
      <c r="E1034" s="1">
        <v>5</v>
      </c>
      <c r="F1034" s="7">
        <v>5</v>
      </c>
      <c r="G1034" s="7">
        <v>5</v>
      </c>
      <c r="H1034" s="7">
        <v>5</v>
      </c>
      <c r="I1034" s="7">
        <v>5</v>
      </c>
      <c r="J1034" s="8">
        <v>5</v>
      </c>
    </row>
    <row r="1035" spans="1:10" x14ac:dyDescent="0.25">
      <c r="A1035" s="6">
        <v>523893</v>
      </c>
      <c r="B1035" s="7">
        <v>2</v>
      </c>
      <c r="C1035" s="7">
        <v>411.40922696777301</v>
      </c>
      <c r="D1035" s="7">
        <v>8</v>
      </c>
      <c r="E1035" s="1">
        <v>8</v>
      </c>
      <c r="F1035" s="7">
        <v>5</v>
      </c>
      <c r="G1035" s="7">
        <v>5</v>
      </c>
      <c r="H1035" s="7">
        <v>5</v>
      </c>
      <c r="I1035" s="7">
        <v>5</v>
      </c>
      <c r="J1035" s="8">
        <v>5</v>
      </c>
    </row>
    <row r="1036" spans="1:10" hidden="1" x14ac:dyDescent="0.25">
      <c r="A1036" s="6">
        <v>523916</v>
      </c>
      <c r="B1036" s="7">
        <v>1</v>
      </c>
      <c r="C1036" s="7">
        <v>434.76122202704897</v>
      </c>
      <c r="D1036" s="7">
        <v>4</v>
      </c>
      <c r="E1036" s="1">
        <v>4</v>
      </c>
      <c r="F1036" s="7">
        <v>5</v>
      </c>
      <c r="G1036" s="7">
        <v>5</v>
      </c>
      <c r="H1036" s="7">
        <v>5</v>
      </c>
      <c r="I1036" s="7">
        <v>5</v>
      </c>
      <c r="J1036" s="8">
        <v>5</v>
      </c>
    </row>
    <row r="1037" spans="1:10" hidden="1" x14ac:dyDescent="0.25">
      <c r="A1037" s="6">
        <v>523917</v>
      </c>
      <c r="B1037" s="7">
        <v>1</v>
      </c>
      <c r="C1037" s="7">
        <v>571.86990071683203</v>
      </c>
      <c r="D1037" s="7">
        <v>7</v>
      </c>
      <c r="E1037" s="1">
        <v>5</v>
      </c>
      <c r="F1037" s="7">
        <v>5</v>
      </c>
      <c r="G1037" s="7">
        <v>5</v>
      </c>
      <c r="H1037" s="7">
        <v>5</v>
      </c>
      <c r="I1037" s="7">
        <v>5</v>
      </c>
      <c r="J1037" s="8">
        <v>5</v>
      </c>
    </row>
    <row r="1038" spans="1:10" hidden="1" x14ac:dyDescent="0.25">
      <c r="A1038" s="6">
        <v>523931</v>
      </c>
      <c r="B1038" s="7">
        <v>1</v>
      </c>
      <c r="C1038" s="7">
        <v>555.47390353922106</v>
      </c>
      <c r="D1038" s="7">
        <v>1</v>
      </c>
      <c r="E1038" s="1">
        <v>7</v>
      </c>
      <c r="F1038" s="7">
        <v>5</v>
      </c>
      <c r="G1038" s="7">
        <v>5</v>
      </c>
      <c r="H1038" s="7">
        <v>5</v>
      </c>
      <c r="I1038" s="7">
        <v>5</v>
      </c>
      <c r="J1038" s="8">
        <v>5</v>
      </c>
    </row>
    <row r="1039" spans="1:10" hidden="1" x14ac:dyDescent="0.25">
      <c r="A1039" s="6">
        <v>523938</v>
      </c>
      <c r="B1039" s="7">
        <v>1</v>
      </c>
      <c r="C1039" s="7">
        <v>551.80691478088102</v>
      </c>
      <c r="D1039" s="7">
        <v>7</v>
      </c>
      <c r="E1039" s="1">
        <v>7</v>
      </c>
      <c r="F1039" s="7">
        <v>5</v>
      </c>
      <c r="G1039" s="7">
        <v>5</v>
      </c>
      <c r="H1039" s="7">
        <v>5</v>
      </c>
      <c r="I1039" s="7">
        <v>5</v>
      </c>
      <c r="J1039" s="8">
        <v>5</v>
      </c>
    </row>
    <row r="1040" spans="1:10" hidden="1" x14ac:dyDescent="0.25">
      <c r="A1040" s="6">
        <v>523940</v>
      </c>
      <c r="B1040" s="7">
        <v>1</v>
      </c>
      <c r="C1040" s="7">
        <v>887.275550773649</v>
      </c>
      <c r="D1040" s="7">
        <v>7</v>
      </c>
      <c r="E1040" s="1">
        <v>7</v>
      </c>
      <c r="F1040" s="7">
        <v>5</v>
      </c>
      <c r="G1040" s="7">
        <v>5</v>
      </c>
      <c r="H1040" s="7">
        <v>5</v>
      </c>
      <c r="I1040" s="7">
        <v>5</v>
      </c>
      <c r="J1040" s="8">
        <v>5</v>
      </c>
    </row>
    <row r="1041" spans="1:10" hidden="1" x14ac:dyDescent="0.25">
      <c r="A1041" s="6">
        <v>523946</v>
      </c>
      <c r="B1041" s="7">
        <v>1</v>
      </c>
      <c r="C1041" s="7">
        <v>600.78167431981001</v>
      </c>
      <c r="D1041" s="7">
        <v>4</v>
      </c>
      <c r="E1041" s="1">
        <v>4</v>
      </c>
      <c r="F1041" s="7">
        <v>5</v>
      </c>
      <c r="G1041" s="7">
        <v>5</v>
      </c>
      <c r="H1041" s="7">
        <v>5</v>
      </c>
      <c r="I1041" s="7">
        <v>5</v>
      </c>
      <c r="J1041" s="8">
        <v>5</v>
      </c>
    </row>
    <row r="1042" spans="1:10" x14ac:dyDescent="0.25">
      <c r="A1042" s="6">
        <v>523950</v>
      </c>
      <c r="B1042" s="7">
        <v>2</v>
      </c>
      <c r="C1042" s="7">
        <v>602.20329814789795</v>
      </c>
      <c r="D1042" s="7">
        <v>8</v>
      </c>
      <c r="E1042" s="1">
        <v>8</v>
      </c>
      <c r="F1042" s="7">
        <v>5</v>
      </c>
      <c r="G1042" s="7">
        <v>5</v>
      </c>
      <c r="H1042" s="7">
        <v>5</v>
      </c>
      <c r="I1042" s="7">
        <v>5</v>
      </c>
      <c r="J1042" s="8">
        <v>5</v>
      </c>
    </row>
    <row r="1043" spans="1:10" hidden="1" x14ac:dyDescent="0.25">
      <c r="A1043" s="6">
        <v>523960</v>
      </c>
      <c r="B1043" s="7">
        <v>1</v>
      </c>
      <c r="C1043" s="7">
        <v>1603.0038557498001</v>
      </c>
      <c r="D1043" s="7">
        <v>2</v>
      </c>
      <c r="E1043" s="1">
        <v>5</v>
      </c>
      <c r="F1043" s="7">
        <v>5</v>
      </c>
      <c r="G1043" s="7">
        <v>5</v>
      </c>
      <c r="H1043" s="7">
        <v>5</v>
      </c>
      <c r="I1043" s="7">
        <v>5</v>
      </c>
      <c r="J1043" s="8">
        <v>5</v>
      </c>
    </row>
    <row r="1044" spans="1:10" x14ac:dyDescent="0.25">
      <c r="A1044" s="6">
        <v>523965</v>
      </c>
      <c r="B1044" s="7">
        <v>2</v>
      </c>
      <c r="C1044" s="7">
        <v>328.18145689889002</v>
      </c>
      <c r="D1044" s="7">
        <v>6</v>
      </c>
      <c r="E1044" s="1">
        <v>7</v>
      </c>
      <c r="F1044" s="7">
        <v>5</v>
      </c>
      <c r="G1044" s="7">
        <v>5</v>
      </c>
      <c r="H1044" s="7">
        <v>5</v>
      </c>
      <c r="I1044" s="7">
        <v>5</v>
      </c>
      <c r="J1044" s="8">
        <v>5</v>
      </c>
    </row>
    <row r="1045" spans="1:10" hidden="1" x14ac:dyDescent="0.25">
      <c r="A1045" s="6">
        <v>523987</v>
      </c>
      <c r="B1045" s="7">
        <v>2</v>
      </c>
      <c r="C1045" s="7">
        <v>336.73717452656001</v>
      </c>
      <c r="D1045" s="7">
        <v>5</v>
      </c>
      <c r="E1045" s="1">
        <v>5</v>
      </c>
      <c r="F1045" s="7">
        <v>5</v>
      </c>
      <c r="G1045" s="7">
        <v>5</v>
      </c>
      <c r="H1045" s="7">
        <v>5</v>
      </c>
      <c r="I1045" s="7">
        <v>5</v>
      </c>
      <c r="J1045" s="8">
        <v>5</v>
      </c>
    </row>
    <row r="1046" spans="1:10" x14ac:dyDescent="0.25">
      <c r="A1046" s="6">
        <v>523994</v>
      </c>
      <c r="B1046" s="7">
        <v>2</v>
      </c>
      <c r="C1046" s="7">
        <v>303.55129279433402</v>
      </c>
      <c r="D1046" s="7">
        <v>6</v>
      </c>
      <c r="E1046" s="1">
        <v>6</v>
      </c>
      <c r="F1046" s="7">
        <v>5</v>
      </c>
      <c r="G1046" s="7">
        <v>5</v>
      </c>
      <c r="H1046" s="7">
        <v>5</v>
      </c>
      <c r="I1046" s="7">
        <v>5</v>
      </c>
      <c r="J1046" s="8">
        <v>5</v>
      </c>
    </row>
    <row r="1047" spans="1:10" hidden="1" x14ac:dyDescent="0.25">
      <c r="A1047" s="6">
        <v>524015</v>
      </c>
      <c r="B1047" s="7">
        <v>1</v>
      </c>
      <c r="C1047" s="7">
        <v>410.13319371540001</v>
      </c>
      <c r="D1047" s="7">
        <v>5</v>
      </c>
      <c r="E1047" s="1">
        <v>5</v>
      </c>
      <c r="F1047" s="7">
        <v>5</v>
      </c>
      <c r="G1047" s="7">
        <v>1</v>
      </c>
      <c r="H1047" s="7">
        <v>5</v>
      </c>
      <c r="I1047" s="7">
        <v>5</v>
      </c>
      <c r="J1047" s="8">
        <v>5</v>
      </c>
    </row>
    <row r="1048" spans="1:10" x14ac:dyDescent="0.25">
      <c r="A1048" s="6">
        <v>524026</v>
      </c>
      <c r="B1048" s="7">
        <v>2</v>
      </c>
      <c r="C1048" s="7">
        <v>631.429129905644</v>
      </c>
      <c r="D1048" s="7">
        <v>8</v>
      </c>
      <c r="E1048" s="1">
        <v>8</v>
      </c>
      <c r="F1048" s="7">
        <v>5</v>
      </c>
      <c r="G1048" s="7">
        <v>5</v>
      </c>
      <c r="H1048" s="7">
        <v>5</v>
      </c>
      <c r="I1048" s="7">
        <v>5</v>
      </c>
      <c r="J1048" s="8">
        <v>5</v>
      </c>
    </row>
    <row r="1049" spans="1:10" hidden="1" x14ac:dyDescent="0.25">
      <c r="A1049" s="6">
        <v>524030</v>
      </c>
      <c r="B1049" s="7">
        <v>2</v>
      </c>
      <c r="C1049" s="7">
        <v>28.0586504138771</v>
      </c>
      <c r="D1049" s="7">
        <v>5</v>
      </c>
      <c r="E1049" s="1">
        <v>8</v>
      </c>
      <c r="F1049" s="7">
        <v>5</v>
      </c>
      <c r="G1049" s="7">
        <v>5</v>
      </c>
      <c r="H1049" s="7">
        <v>5</v>
      </c>
      <c r="I1049" s="7">
        <v>5</v>
      </c>
      <c r="J1049" s="8">
        <v>5</v>
      </c>
    </row>
    <row r="1050" spans="1:10" hidden="1" x14ac:dyDescent="0.25">
      <c r="A1050" s="6">
        <v>524072</v>
      </c>
      <c r="B1050" s="7">
        <v>2</v>
      </c>
      <c r="C1050" s="7">
        <v>556.60261861021604</v>
      </c>
      <c r="D1050" s="7">
        <v>4</v>
      </c>
      <c r="E1050" s="1">
        <v>4</v>
      </c>
      <c r="F1050" s="7">
        <v>5</v>
      </c>
      <c r="G1050" s="7">
        <v>5</v>
      </c>
      <c r="H1050" s="7">
        <v>5</v>
      </c>
      <c r="I1050" s="7">
        <v>5</v>
      </c>
      <c r="J1050" s="8">
        <v>5</v>
      </c>
    </row>
    <row r="1051" spans="1:10" hidden="1" x14ac:dyDescent="0.25">
      <c r="A1051" s="6">
        <v>524076</v>
      </c>
      <c r="B1051" s="7">
        <v>2</v>
      </c>
      <c r="C1051" s="7">
        <v>1286.71260200814</v>
      </c>
      <c r="D1051" s="7">
        <v>7</v>
      </c>
      <c r="E1051" s="1">
        <v>8</v>
      </c>
      <c r="F1051" s="7">
        <v>5</v>
      </c>
      <c r="G1051" s="7">
        <v>5</v>
      </c>
      <c r="H1051" s="7">
        <v>5</v>
      </c>
      <c r="I1051" s="7">
        <v>5</v>
      </c>
      <c r="J1051" s="8">
        <v>5</v>
      </c>
    </row>
    <row r="1052" spans="1:10" hidden="1" x14ac:dyDescent="0.25">
      <c r="A1052" s="6">
        <v>524083</v>
      </c>
      <c r="B1052" s="7">
        <v>2</v>
      </c>
      <c r="C1052" s="7">
        <v>383.95927336514501</v>
      </c>
      <c r="D1052" s="7">
        <v>5</v>
      </c>
      <c r="E1052" s="1">
        <v>5</v>
      </c>
      <c r="F1052" s="7">
        <v>5</v>
      </c>
      <c r="G1052" s="7">
        <v>5</v>
      </c>
      <c r="H1052" s="7">
        <v>5</v>
      </c>
      <c r="I1052" s="7">
        <v>5</v>
      </c>
      <c r="J1052" s="8">
        <v>5</v>
      </c>
    </row>
    <row r="1053" spans="1:10" hidden="1" x14ac:dyDescent="0.25">
      <c r="A1053" s="6">
        <v>524089</v>
      </c>
      <c r="B1053" s="7">
        <v>1</v>
      </c>
      <c r="C1053" s="7">
        <v>975.53490922491403</v>
      </c>
      <c r="D1053" s="7">
        <v>2</v>
      </c>
      <c r="E1053" s="1">
        <v>9</v>
      </c>
      <c r="F1053" s="7">
        <v>5</v>
      </c>
      <c r="G1053" s="7">
        <v>5</v>
      </c>
      <c r="H1053" s="7">
        <v>5</v>
      </c>
      <c r="I1053" s="7">
        <v>5</v>
      </c>
      <c r="J1053" s="8">
        <v>5</v>
      </c>
    </row>
    <row r="1054" spans="1:10" x14ac:dyDescent="0.25">
      <c r="A1054" s="6">
        <v>524090</v>
      </c>
      <c r="B1054" s="7">
        <v>2</v>
      </c>
      <c r="C1054" s="7">
        <v>630.678558769755</v>
      </c>
      <c r="D1054" s="7">
        <v>8</v>
      </c>
      <c r="E1054" s="1">
        <v>8</v>
      </c>
      <c r="F1054" s="7">
        <v>5</v>
      </c>
      <c r="G1054" s="7">
        <v>5</v>
      </c>
      <c r="H1054" s="7">
        <v>5</v>
      </c>
      <c r="I1054" s="7">
        <v>5</v>
      </c>
      <c r="J1054" s="8">
        <v>5</v>
      </c>
    </row>
    <row r="1055" spans="1:10" hidden="1" x14ac:dyDescent="0.25">
      <c r="A1055" s="6">
        <v>524095</v>
      </c>
      <c r="B1055" s="7">
        <v>2</v>
      </c>
      <c r="C1055" s="7">
        <v>24.1798269666115</v>
      </c>
      <c r="D1055" s="7">
        <v>5</v>
      </c>
      <c r="E1055" s="1">
        <v>5</v>
      </c>
      <c r="F1055" s="7">
        <v>5</v>
      </c>
      <c r="G1055" s="7">
        <v>5</v>
      </c>
      <c r="H1055" s="7">
        <v>5</v>
      </c>
      <c r="I1055" s="7">
        <v>5</v>
      </c>
      <c r="J1055" s="8">
        <v>5</v>
      </c>
    </row>
    <row r="1056" spans="1:10" hidden="1" x14ac:dyDescent="0.25">
      <c r="A1056" s="6">
        <v>524103</v>
      </c>
      <c r="B1056" s="7">
        <v>1</v>
      </c>
      <c r="C1056" s="7">
        <v>547.557644945839</v>
      </c>
      <c r="D1056" s="7">
        <v>3</v>
      </c>
      <c r="E1056" s="1">
        <v>3</v>
      </c>
      <c r="F1056" s="7">
        <v>5</v>
      </c>
      <c r="G1056" s="7">
        <v>5</v>
      </c>
      <c r="H1056" s="7">
        <v>5</v>
      </c>
      <c r="I1056" s="7">
        <v>5</v>
      </c>
      <c r="J1056" s="8">
        <v>5</v>
      </c>
    </row>
    <row r="1057" spans="1:10" x14ac:dyDescent="0.25">
      <c r="A1057" s="6">
        <v>524107</v>
      </c>
      <c r="B1057" s="7">
        <v>2</v>
      </c>
      <c r="C1057" s="7">
        <v>349.690837549744</v>
      </c>
      <c r="D1057" s="7">
        <v>9</v>
      </c>
      <c r="E1057" s="1">
        <v>9</v>
      </c>
      <c r="F1057" s="7">
        <v>5</v>
      </c>
      <c r="G1057" s="7">
        <v>5</v>
      </c>
      <c r="H1057" s="7">
        <v>5</v>
      </c>
      <c r="I1057" s="7">
        <v>5</v>
      </c>
      <c r="J1057" s="8">
        <v>5</v>
      </c>
    </row>
    <row r="1058" spans="1:10" hidden="1" x14ac:dyDescent="0.25">
      <c r="A1058" s="6">
        <v>524111</v>
      </c>
      <c r="B1058" s="7">
        <v>1</v>
      </c>
      <c r="C1058" s="7">
        <v>257.48831594779801</v>
      </c>
      <c r="D1058" s="7">
        <v>5</v>
      </c>
      <c r="E1058" s="1">
        <v>5</v>
      </c>
      <c r="F1058" s="7">
        <v>5</v>
      </c>
      <c r="G1058" s="7">
        <v>5</v>
      </c>
      <c r="H1058" s="7">
        <v>5</v>
      </c>
      <c r="I1058" s="7">
        <v>5</v>
      </c>
      <c r="J1058" s="8">
        <v>5</v>
      </c>
    </row>
    <row r="1059" spans="1:10" hidden="1" x14ac:dyDescent="0.25">
      <c r="A1059" s="6">
        <v>524128</v>
      </c>
      <c r="B1059" s="7">
        <v>2</v>
      </c>
      <c r="C1059" s="7">
        <v>302.91704223973898</v>
      </c>
      <c r="D1059" s="7">
        <v>5</v>
      </c>
      <c r="E1059" s="1">
        <v>5</v>
      </c>
      <c r="F1059" s="7">
        <v>5</v>
      </c>
      <c r="G1059" s="7">
        <v>5</v>
      </c>
      <c r="H1059" s="7">
        <v>5</v>
      </c>
      <c r="I1059" s="7">
        <v>5</v>
      </c>
      <c r="J1059" s="8">
        <v>5</v>
      </c>
    </row>
    <row r="1060" spans="1:10" hidden="1" x14ac:dyDescent="0.25">
      <c r="A1060" s="6">
        <v>524195</v>
      </c>
      <c r="B1060" s="7">
        <v>1</v>
      </c>
      <c r="C1060" s="7">
        <v>1518.4660428851</v>
      </c>
      <c r="D1060" s="7">
        <v>5</v>
      </c>
      <c r="E1060" s="1">
        <v>5</v>
      </c>
      <c r="F1060" s="7">
        <v>5</v>
      </c>
      <c r="G1060" s="7">
        <v>5</v>
      </c>
      <c r="H1060" s="7">
        <v>5</v>
      </c>
      <c r="I1060" s="7">
        <v>5</v>
      </c>
      <c r="J1060" s="8">
        <v>5</v>
      </c>
    </row>
    <row r="1061" spans="1:10" hidden="1" x14ac:dyDescent="0.25">
      <c r="A1061" s="6">
        <v>524200</v>
      </c>
      <c r="B1061" s="7">
        <v>2</v>
      </c>
      <c r="C1061" s="7">
        <v>1221.37832807275</v>
      </c>
      <c r="D1061" s="7">
        <v>5</v>
      </c>
      <c r="E1061" s="1">
        <v>5</v>
      </c>
      <c r="F1061" s="7">
        <v>5</v>
      </c>
      <c r="G1061" s="7">
        <v>5</v>
      </c>
      <c r="H1061" s="7">
        <v>5</v>
      </c>
      <c r="I1061" s="7">
        <v>5</v>
      </c>
      <c r="J1061" s="8">
        <v>5</v>
      </c>
    </row>
    <row r="1062" spans="1:10" hidden="1" x14ac:dyDescent="0.25">
      <c r="A1062" s="6">
        <v>524201</v>
      </c>
      <c r="B1062" s="7">
        <v>1</v>
      </c>
      <c r="C1062" s="7">
        <v>624.51937926060202</v>
      </c>
      <c r="D1062" s="7">
        <v>2</v>
      </c>
      <c r="E1062" s="1">
        <v>5</v>
      </c>
      <c r="F1062" s="7">
        <v>5</v>
      </c>
      <c r="G1062" s="7">
        <v>1</v>
      </c>
      <c r="H1062" s="7">
        <v>1</v>
      </c>
      <c r="I1062" s="7">
        <v>5</v>
      </c>
      <c r="J1062" s="8">
        <v>5</v>
      </c>
    </row>
    <row r="1063" spans="1:10" hidden="1" x14ac:dyDescent="0.25">
      <c r="A1063" s="6">
        <v>524234</v>
      </c>
      <c r="B1063" s="7">
        <v>2</v>
      </c>
      <c r="C1063" s="7">
        <v>343.10202339411597</v>
      </c>
      <c r="D1063" s="7">
        <v>4</v>
      </c>
      <c r="E1063" s="1">
        <v>4</v>
      </c>
      <c r="F1063" s="7">
        <v>5</v>
      </c>
      <c r="G1063" s="7">
        <v>5</v>
      </c>
      <c r="H1063" s="7">
        <v>5</v>
      </c>
      <c r="I1063" s="7">
        <v>5</v>
      </c>
      <c r="J1063" s="8">
        <v>5</v>
      </c>
    </row>
    <row r="1064" spans="1:10" hidden="1" x14ac:dyDescent="0.25">
      <c r="A1064" s="6">
        <v>524243</v>
      </c>
      <c r="B1064" s="7">
        <v>2</v>
      </c>
      <c r="C1064" s="7">
        <v>389.76254934081902</v>
      </c>
      <c r="D1064" s="7">
        <v>7</v>
      </c>
      <c r="E1064" s="1">
        <v>7</v>
      </c>
      <c r="F1064" s="7">
        <v>5</v>
      </c>
      <c r="G1064" s="7">
        <v>5</v>
      </c>
      <c r="H1064" s="7">
        <v>5</v>
      </c>
      <c r="I1064" s="7">
        <v>5</v>
      </c>
      <c r="J1064" s="8">
        <v>5</v>
      </c>
    </row>
    <row r="1065" spans="1:10" hidden="1" x14ac:dyDescent="0.25">
      <c r="A1065" s="6">
        <v>524245</v>
      </c>
      <c r="B1065" s="7">
        <v>2</v>
      </c>
      <c r="C1065" s="7">
        <v>252.205516778218</v>
      </c>
      <c r="D1065" s="7">
        <v>7</v>
      </c>
      <c r="E1065" s="1">
        <v>7</v>
      </c>
      <c r="F1065" s="7">
        <v>5</v>
      </c>
      <c r="G1065" s="7">
        <v>5</v>
      </c>
      <c r="H1065" s="7">
        <v>5</v>
      </c>
      <c r="I1065" s="7">
        <v>5</v>
      </c>
      <c r="J1065" s="8">
        <v>5</v>
      </c>
    </row>
    <row r="1066" spans="1:10" hidden="1" x14ac:dyDescent="0.25">
      <c r="A1066" s="6">
        <v>524296</v>
      </c>
      <c r="B1066" s="7">
        <v>1</v>
      </c>
      <c r="C1066" s="7">
        <v>939.13415668962602</v>
      </c>
      <c r="D1066" s="7">
        <v>4</v>
      </c>
      <c r="E1066" s="1">
        <v>4</v>
      </c>
      <c r="F1066" s="7">
        <v>5</v>
      </c>
      <c r="G1066" s="7">
        <v>5</v>
      </c>
      <c r="H1066" s="7">
        <v>5</v>
      </c>
      <c r="I1066" s="7">
        <v>5</v>
      </c>
      <c r="J1066" s="8">
        <v>5</v>
      </c>
    </row>
    <row r="1067" spans="1:10" x14ac:dyDescent="0.25">
      <c r="A1067" s="6">
        <v>524300</v>
      </c>
      <c r="B1067" s="7">
        <v>2</v>
      </c>
      <c r="C1067" s="7">
        <v>720.26306949789796</v>
      </c>
      <c r="D1067" s="7">
        <v>8</v>
      </c>
      <c r="E1067" s="1">
        <v>8</v>
      </c>
      <c r="F1067" s="7">
        <v>5</v>
      </c>
      <c r="G1067" s="7">
        <v>5</v>
      </c>
      <c r="H1067" s="7">
        <v>5</v>
      </c>
      <c r="I1067" s="7">
        <v>5</v>
      </c>
      <c r="J1067" s="8">
        <v>5</v>
      </c>
    </row>
    <row r="1068" spans="1:10" hidden="1" x14ac:dyDescent="0.25">
      <c r="A1068" s="6">
        <v>524301</v>
      </c>
      <c r="B1068" s="7">
        <v>2</v>
      </c>
      <c r="C1068" s="7">
        <v>196.91543007853201</v>
      </c>
      <c r="D1068" s="7">
        <v>7</v>
      </c>
      <c r="E1068" s="1">
        <v>7</v>
      </c>
      <c r="F1068" s="7">
        <v>5</v>
      </c>
      <c r="G1068" s="7">
        <v>5</v>
      </c>
      <c r="H1068" s="7">
        <v>5</v>
      </c>
      <c r="I1068" s="7">
        <v>5</v>
      </c>
      <c r="J1068" s="8">
        <v>5</v>
      </c>
    </row>
    <row r="1069" spans="1:10" x14ac:dyDescent="0.25">
      <c r="A1069" s="6">
        <v>524302</v>
      </c>
      <c r="B1069" s="7">
        <v>2</v>
      </c>
      <c r="C1069" s="7">
        <v>582.16412633646905</v>
      </c>
      <c r="D1069" s="7">
        <v>8</v>
      </c>
      <c r="E1069" s="1">
        <v>8</v>
      </c>
      <c r="F1069" s="7">
        <v>5</v>
      </c>
      <c r="G1069" s="7">
        <v>5</v>
      </c>
      <c r="H1069" s="7">
        <v>5</v>
      </c>
      <c r="I1069" s="7">
        <v>5</v>
      </c>
      <c r="J1069" s="8">
        <v>5</v>
      </c>
    </row>
    <row r="1070" spans="1:10" hidden="1" x14ac:dyDescent="0.25">
      <c r="A1070" s="6">
        <v>524304</v>
      </c>
      <c r="B1070" s="7">
        <v>1</v>
      </c>
      <c r="C1070" s="7">
        <v>1140.06674687184</v>
      </c>
      <c r="D1070" s="7">
        <v>2</v>
      </c>
      <c r="E1070" s="1">
        <v>4</v>
      </c>
      <c r="F1070" s="7">
        <v>5</v>
      </c>
      <c r="G1070" s="7">
        <v>5</v>
      </c>
      <c r="H1070" s="7">
        <v>5</v>
      </c>
      <c r="I1070" s="7">
        <v>5</v>
      </c>
      <c r="J1070" s="8">
        <v>5</v>
      </c>
    </row>
    <row r="1071" spans="1:10" hidden="1" x14ac:dyDescent="0.25">
      <c r="A1071" s="6">
        <v>524309</v>
      </c>
      <c r="B1071" s="7">
        <v>2</v>
      </c>
      <c r="C1071" s="7">
        <v>535.54025583802002</v>
      </c>
      <c r="D1071" s="7">
        <v>4</v>
      </c>
      <c r="E1071" s="1">
        <v>4</v>
      </c>
      <c r="F1071" s="7">
        <v>5</v>
      </c>
      <c r="G1071" s="7">
        <v>5</v>
      </c>
      <c r="H1071" s="7">
        <v>5</v>
      </c>
      <c r="I1071" s="7">
        <v>5</v>
      </c>
      <c r="J1071" s="8">
        <v>5</v>
      </c>
    </row>
    <row r="1072" spans="1:10" x14ac:dyDescent="0.25">
      <c r="A1072" s="6">
        <v>524371</v>
      </c>
      <c r="B1072" s="7">
        <v>2</v>
      </c>
      <c r="C1072" s="7">
        <v>306.72463353816602</v>
      </c>
      <c r="D1072" s="7">
        <v>6</v>
      </c>
      <c r="E1072" s="1">
        <v>7</v>
      </c>
      <c r="F1072" s="7">
        <v>5</v>
      </c>
      <c r="G1072" s="7">
        <v>5</v>
      </c>
      <c r="H1072" s="7">
        <v>5</v>
      </c>
      <c r="I1072" s="7">
        <v>5</v>
      </c>
      <c r="J1072" s="8">
        <v>5</v>
      </c>
    </row>
    <row r="1073" spans="1:10" x14ac:dyDescent="0.25">
      <c r="A1073" s="6">
        <v>524462</v>
      </c>
      <c r="B1073" s="7">
        <v>2</v>
      </c>
      <c r="C1073" s="7">
        <v>62.268700175857298</v>
      </c>
      <c r="D1073" s="7">
        <v>8</v>
      </c>
      <c r="E1073" s="1">
        <v>8</v>
      </c>
      <c r="F1073" s="7">
        <v>5</v>
      </c>
      <c r="G1073" s="7">
        <v>5</v>
      </c>
      <c r="H1073" s="7">
        <v>5</v>
      </c>
      <c r="I1073" s="7">
        <v>5</v>
      </c>
      <c r="J1073" s="8">
        <v>5</v>
      </c>
    </row>
    <row r="1074" spans="1:10" hidden="1" x14ac:dyDescent="0.25">
      <c r="A1074" s="6">
        <v>524519</v>
      </c>
      <c r="B1074" s="7">
        <v>1</v>
      </c>
      <c r="C1074" s="7">
        <v>610.39795999639705</v>
      </c>
      <c r="D1074" s="7">
        <v>2</v>
      </c>
      <c r="E1074" s="1">
        <v>7</v>
      </c>
      <c r="F1074" s="7">
        <v>5</v>
      </c>
      <c r="G1074" s="7">
        <v>5</v>
      </c>
      <c r="H1074" s="7">
        <v>5</v>
      </c>
      <c r="I1074" s="7">
        <v>5</v>
      </c>
      <c r="J1074" s="8">
        <v>5</v>
      </c>
    </row>
    <row r="1075" spans="1:10" hidden="1" x14ac:dyDescent="0.25">
      <c r="A1075" s="6">
        <v>524598</v>
      </c>
      <c r="B1075" s="7">
        <v>2</v>
      </c>
      <c r="C1075" s="7">
        <v>622.33566849910903</v>
      </c>
      <c r="D1075" s="7">
        <v>7</v>
      </c>
      <c r="E1075" s="1">
        <v>7</v>
      </c>
      <c r="F1075" s="7">
        <v>5</v>
      </c>
      <c r="G1075" s="7">
        <v>5</v>
      </c>
      <c r="H1075" s="7">
        <v>5</v>
      </c>
      <c r="I1075" s="7">
        <v>5</v>
      </c>
      <c r="J1075" s="8">
        <v>5</v>
      </c>
    </row>
    <row r="1076" spans="1:10" hidden="1" x14ac:dyDescent="0.25">
      <c r="A1076" s="6">
        <v>524685</v>
      </c>
      <c r="B1076" s="7">
        <v>1</v>
      </c>
      <c r="C1076" s="7">
        <v>1358.3999356326699</v>
      </c>
      <c r="D1076" s="7">
        <v>2</v>
      </c>
      <c r="E1076" s="1">
        <v>5</v>
      </c>
      <c r="F1076" s="7">
        <v>5</v>
      </c>
      <c r="G1076" s="7">
        <v>5</v>
      </c>
      <c r="H1076" s="7">
        <v>5</v>
      </c>
      <c r="I1076" s="7">
        <v>5</v>
      </c>
      <c r="J1076" s="8">
        <v>5</v>
      </c>
    </row>
    <row r="1077" spans="1:10" hidden="1" x14ac:dyDescent="0.25">
      <c r="A1077" s="6">
        <v>524687</v>
      </c>
      <c r="B1077" s="7">
        <v>2</v>
      </c>
      <c r="C1077" s="7">
        <v>208.32555545827</v>
      </c>
      <c r="D1077" s="7">
        <v>2</v>
      </c>
      <c r="E1077" s="1">
        <v>9</v>
      </c>
      <c r="F1077" s="7">
        <v>5</v>
      </c>
      <c r="G1077" s="7">
        <v>5</v>
      </c>
      <c r="H1077" s="7">
        <v>5</v>
      </c>
      <c r="I1077" s="7">
        <v>5</v>
      </c>
      <c r="J1077" s="8">
        <v>5</v>
      </c>
    </row>
    <row r="1078" spans="1:10" hidden="1" x14ac:dyDescent="0.25">
      <c r="A1078" s="6">
        <v>524702</v>
      </c>
      <c r="B1078" s="7">
        <v>1</v>
      </c>
      <c r="C1078" s="7">
        <v>855.698300003138</v>
      </c>
      <c r="D1078" s="7">
        <v>2</v>
      </c>
      <c r="E1078" s="1">
        <v>9</v>
      </c>
      <c r="F1078" s="7">
        <v>5</v>
      </c>
      <c r="G1078" s="7">
        <v>5</v>
      </c>
      <c r="H1078" s="7">
        <v>5</v>
      </c>
      <c r="I1078" s="7">
        <v>5</v>
      </c>
      <c r="J1078" s="8">
        <v>5</v>
      </c>
    </row>
    <row r="1079" spans="1:10" hidden="1" x14ac:dyDescent="0.25">
      <c r="A1079" s="6">
        <v>524704</v>
      </c>
      <c r="B1079" s="7">
        <v>2</v>
      </c>
      <c r="C1079" s="7">
        <v>293.54174434498401</v>
      </c>
      <c r="D1079" s="7">
        <v>7</v>
      </c>
      <c r="E1079" s="1">
        <v>7</v>
      </c>
      <c r="F1079" s="7">
        <v>5</v>
      </c>
      <c r="G1079" s="7">
        <v>5</v>
      </c>
      <c r="H1079" s="7">
        <v>5</v>
      </c>
      <c r="I1079" s="7">
        <v>5</v>
      </c>
      <c r="J1079" s="8">
        <v>5</v>
      </c>
    </row>
    <row r="1080" spans="1:10" hidden="1" x14ac:dyDescent="0.25">
      <c r="A1080" s="6">
        <v>524801</v>
      </c>
      <c r="B1080" s="7">
        <v>2</v>
      </c>
      <c r="C1080" s="7">
        <v>110.951911167185</v>
      </c>
      <c r="D1080" s="7">
        <v>5</v>
      </c>
      <c r="E1080" s="1">
        <v>5</v>
      </c>
      <c r="F1080" s="7">
        <v>5</v>
      </c>
      <c r="G1080" s="7">
        <v>5</v>
      </c>
      <c r="H1080" s="7">
        <v>5</v>
      </c>
      <c r="I1080" s="7">
        <v>5</v>
      </c>
      <c r="J1080" s="8">
        <v>5</v>
      </c>
    </row>
    <row r="1081" spans="1:10" hidden="1" x14ac:dyDescent="0.25">
      <c r="A1081" s="6">
        <v>524806</v>
      </c>
      <c r="B1081" s="7">
        <v>1</v>
      </c>
      <c r="C1081" s="7">
        <v>461.80643209140601</v>
      </c>
      <c r="D1081" s="7">
        <v>2</v>
      </c>
      <c r="E1081" s="1">
        <v>9</v>
      </c>
      <c r="F1081" s="7">
        <v>5</v>
      </c>
      <c r="G1081" s="7">
        <v>5</v>
      </c>
      <c r="H1081" s="7">
        <v>5</v>
      </c>
      <c r="I1081" s="7">
        <v>5</v>
      </c>
      <c r="J1081" s="8">
        <v>5</v>
      </c>
    </row>
    <row r="1082" spans="1:10" hidden="1" x14ac:dyDescent="0.25">
      <c r="A1082" s="6">
        <v>524808</v>
      </c>
      <c r="B1082" s="7">
        <v>1</v>
      </c>
      <c r="C1082" s="7">
        <v>792.10793099208297</v>
      </c>
      <c r="D1082" s="7">
        <v>3</v>
      </c>
      <c r="E1082" s="1">
        <v>3</v>
      </c>
      <c r="F1082" s="7">
        <v>5</v>
      </c>
      <c r="G1082" s="7">
        <v>5</v>
      </c>
      <c r="H1082" s="7">
        <v>5</v>
      </c>
      <c r="I1082" s="7">
        <v>5</v>
      </c>
      <c r="J1082" s="8">
        <v>5</v>
      </c>
    </row>
    <row r="1083" spans="1:10" hidden="1" x14ac:dyDescent="0.25">
      <c r="A1083" s="6">
        <v>524819</v>
      </c>
      <c r="B1083" s="7">
        <v>1</v>
      </c>
      <c r="C1083" s="7">
        <v>1009.22079329244</v>
      </c>
      <c r="D1083" s="7">
        <v>5</v>
      </c>
      <c r="E1083" s="1">
        <v>5</v>
      </c>
      <c r="F1083" s="7">
        <v>5</v>
      </c>
      <c r="G1083" s="7">
        <v>5</v>
      </c>
      <c r="H1083" s="7">
        <v>5</v>
      </c>
      <c r="I1083" s="7">
        <v>5</v>
      </c>
      <c r="J1083" s="8">
        <v>5</v>
      </c>
    </row>
    <row r="1084" spans="1:10" hidden="1" x14ac:dyDescent="0.25">
      <c r="A1084" s="6">
        <v>524821</v>
      </c>
      <c r="B1084" s="7">
        <v>1</v>
      </c>
      <c r="C1084" s="7">
        <v>662.12204714744405</v>
      </c>
      <c r="D1084" s="7">
        <v>7</v>
      </c>
      <c r="E1084" s="1">
        <v>7</v>
      </c>
      <c r="F1084" s="7">
        <v>5</v>
      </c>
      <c r="G1084" s="7">
        <v>5</v>
      </c>
      <c r="H1084" s="7">
        <v>5</v>
      </c>
      <c r="I1084" s="7">
        <v>5</v>
      </c>
      <c r="J1084" s="8">
        <v>5</v>
      </c>
    </row>
    <row r="1085" spans="1:10" hidden="1" x14ac:dyDescent="0.25">
      <c r="A1085" s="6">
        <v>524825</v>
      </c>
      <c r="B1085" s="7">
        <v>2</v>
      </c>
      <c r="C1085" s="7">
        <v>164.137198826993</v>
      </c>
      <c r="D1085" s="7">
        <v>5</v>
      </c>
      <c r="E1085" s="1">
        <v>5</v>
      </c>
      <c r="F1085" s="7">
        <v>5</v>
      </c>
      <c r="G1085" s="7">
        <v>5</v>
      </c>
      <c r="H1085" s="7">
        <v>5</v>
      </c>
      <c r="I1085" s="7">
        <v>5</v>
      </c>
      <c r="J1085" s="8">
        <v>5</v>
      </c>
    </row>
    <row r="1086" spans="1:10" x14ac:dyDescent="0.25">
      <c r="A1086" s="6">
        <v>524834</v>
      </c>
      <c r="B1086" s="7">
        <v>2</v>
      </c>
      <c r="C1086" s="7">
        <v>433.224866309258</v>
      </c>
      <c r="D1086" s="7">
        <v>8</v>
      </c>
      <c r="E1086" s="1">
        <v>8</v>
      </c>
      <c r="F1086" s="7">
        <v>5</v>
      </c>
      <c r="G1086" s="7">
        <v>5</v>
      </c>
      <c r="H1086" s="7">
        <v>5</v>
      </c>
      <c r="I1086" s="7">
        <v>5</v>
      </c>
      <c r="J1086" s="8">
        <v>5</v>
      </c>
    </row>
    <row r="1087" spans="1:10" hidden="1" x14ac:dyDescent="0.25">
      <c r="A1087" s="6">
        <v>524836</v>
      </c>
      <c r="B1087" s="7">
        <v>1</v>
      </c>
      <c r="C1087" s="7">
        <v>647.97983815397902</v>
      </c>
      <c r="D1087" s="7">
        <v>5</v>
      </c>
      <c r="E1087" s="1">
        <v>5</v>
      </c>
      <c r="F1087" s="7">
        <v>5</v>
      </c>
      <c r="G1087" s="7">
        <v>5</v>
      </c>
      <c r="H1087" s="7">
        <v>5</v>
      </c>
      <c r="I1087" s="7">
        <v>5</v>
      </c>
      <c r="J1087" s="8">
        <v>5</v>
      </c>
    </row>
    <row r="1088" spans="1:10" hidden="1" x14ac:dyDescent="0.25">
      <c r="A1088" s="6">
        <v>524845</v>
      </c>
      <c r="B1088" s="7">
        <v>1</v>
      </c>
      <c r="C1088" s="7">
        <v>464.62868827274201</v>
      </c>
      <c r="D1088" s="7">
        <v>7</v>
      </c>
      <c r="E1088" s="1">
        <v>7</v>
      </c>
      <c r="F1088" s="7">
        <v>5</v>
      </c>
      <c r="G1088" s="7">
        <v>5</v>
      </c>
      <c r="H1088" s="7">
        <v>5</v>
      </c>
      <c r="I1088" s="7">
        <v>5</v>
      </c>
      <c r="J1088" s="8">
        <v>5</v>
      </c>
    </row>
    <row r="1089" spans="1:10" x14ac:dyDescent="0.25">
      <c r="A1089" s="6">
        <v>524869</v>
      </c>
      <c r="B1089" s="7">
        <v>2</v>
      </c>
      <c r="C1089" s="7">
        <v>453.77762333267401</v>
      </c>
      <c r="D1089" s="7">
        <v>6</v>
      </c>
      <c r="E1089" s="1">
        <v>5</v>
      </c>
      <c r="F1089" s="7">
        <v>5</v>
      </c>
      <c r="G1089" s="7">
        <v>5</v>
      </c>
      <c r="H1089" s="7">
        <v>5</v>
      </c>
      <c r="I1089" s="7">
        <v>5</v>
      </c>
      <c r="J1089" s="8">
        <v>5</v>
      </c>
    </row>
    <row r="1090" spans="1:10" x14ac:dyDescent="0.25">
      <c r="A1090" s="6">
        <v>524888</v>
      </c>
      <c r="B1090" s="7">
        <v>2</v>
      </c>
      <c r="C1090" s="7">
        <v>26.226395393252702</v>
      </c>
      <c r="D1090" s="7">
        <v>8</v>
      </c>
      <c r="E1090" s="1">
        <v>8</v>
      </c>
      <c r="F1090" s="7">
        <v>5</v>
      </c>
      <c r="G1090" s="7">
        <v>5</v>
      </c>
      <c r="H1090" s="7">
        <v>5</v>
      </c>
      <c r="I1090" s="7">
        <v>5</v>
      </c>
      <c r="J1090" s="8">
        <v>5</v>
      </c>
    </row>
    <row r="1091" spans="1:10" hidden="1" x14ac:dyDescent="0.25">
      <c r="A1091" s="6">
        <v>524933</v>
      </c>
      <c r="B1091" s="7">
        <v>1</v>
      </c>
      <c r="C1091" s="7">
        <v>994.54414079244805</v>
      </c>
      <c r="D1091" s="7">
        <v>2</v>
      </c>
      <c r="E1091" s="1">
        <v>4</v>
      </c>
      <c r="F1091" s="7">
        <v>5</v>
      </c>
      <c r="G1091" s="7">
        <v>5</v>
      </c>
      <c r="H1091" s="7">
        <v>5</v>
      </c>
      <c r="I1091" s="7">
        <v>5</v>
      </c>
      <c r="J1091" s="8">
        <v>5</v>
      </c>
    </row>
    <row r="1092" spans="1:10" hidden="1" x14ac:dyDescent="0.25">
      <c r="A1092" s="6">
        <v>524961</v>
      </c>
      <c r="B1092" s="7">
        <v>1</v>
      </c>
      <c r="C1092" s="7">
        <v>257.30757624284001</v>
      </c>
      <c r="D1092" s="7">
        <v>5</v>
      </c>
      <c r="E1092" s="1">
        <v>5</v>
      </c>
      <c r="F1092" s="7">
        <v>5</v>
      </c>
      <c r="G1092" s="7">
        <v>5</v>
      </c>
      <c r="H1092" s="7">
        <v>5</v>
      </c>
      <c r="I1092" s="7">
        <v>5</v>
      </c>
      <c r="J1092" s="8">
        <v>5</v>
      </c>
    </row>
    <row r="1093" spans="1:10" x14ac:dyDescent="0.25">
      <c r="A1093" s="6">
        <v>524976</v>
      </c>
      <c r="B1093" s="7">
        <v>2</v>
      </c>
      <c r="C1093" s="7">
        <v>531.94036656371497</v>
      </c>
      <c r="D1093" s="7">
        <v>6</v>
      </c>
      <c r="E1093" s="1">
        <v>5</v>
      </c>
      <c r="F1093" s="7">
        <v>1</v>
      </c>
      <c r="G1093" s="7">
        <v>5</v>
      </c>
      <c r="H1093" s="7">
        <v>5</v>
      </c>
      <c r="I1093" s="7">
        <v>5</v>
      </c>
      <c r="J1093" s="8">
        <v>5</v>
      </c>
    </row>
    <row r="1094" spans="1:10" hidden="1" x14ac:dyDescent="0.25">
      <c r="A1094" s="6">
        <v>525009</v>
      </c>
      <c r="B1094" s="7">
        <v>1</v>
      </c>
      <c r="C1094" s="7">
        <v>423.00778605228402</v>
      </c>
      <c r="D1094" s="7">
        <v>2</v>
      </c>
      <c r="E1094" s="1">
        <v>4</v>
      </c>
      <c r="F1094" s="7">
        <v>5</v>
      </c>
      <c r="G1094" s="7">
        <v>5</v>
      </c>
      <c r="H1094" s="7">
        <v>5</v>
      </c>
      <c r="I1094" s="7">
        <v>5</v>
      </c>
      <c r="J1094" s="8">
        <v>5</v>
      </c>
    </row>
    <row r="1095" spans="1:10" hidden="1" x14ac:dyDescent="0.25">
      <c r="A1095" s="6">
        <v>525020</v>
      </c>
      <c r="B1095" s="7">
        <v>2</v>
      </c>
      <c r="C1095" s="7">
        <v>275.72124420046902</v>
      </c>
      <c r="D1095" s="7">
        <v>7</v>
      </c>
      <c r="E1095" s="1">
        <v>7</v>
      </c>
      <c r="F1095" s="7">
        <v>5</v>
      </c>
      <c r="G1095" s="7">
        <v>5</v>
      </c>
      <c r="H1095" s="7">
        <v>5</v>
      </c>
      <c r="I1095" s="7">
        <v>5</v>
      </c>
      <c r="J1095" s="8">
        <v>5</v>
      </c>
    </row>
    <row r="1096" spans="1:10" hidden="1" x14ac:dyDescent="0.25">
      <c r="A1096" s="6">
        <v>525045</v>
      </c>
      <c r="B1096" s="7">
        <v>1</v>
      </c>
      <c r="C1096" s="7">
        <v>611.87196839280602</v>
      </c>
      <c r="D1096" s="7">
        <v>4</v>
      </c>
      <c r="E1096" s="1">
        <v>4</v>
      </c>
      <c r="F1096" s="7">
        <v>5</v>
      </c>
      <c r="G1096" s="7">
        <v>5</v>
      </c>
      <c r="H1096" s="7">
        <v>5</v>
      </c>
      <c r="I1096" s="7">
        <v>5</v>
      </c>
      <c r="J1096" s="8">
        <v>5</v>
      </c>
    </row>
    <row r="1097" spans="1:10" hidden="1" x14ac:dyDescent="0.25">
      <c r="A1097" s="6">
        <v>525073</v>
      </c>
      <c r="B1097" s="7">
        <v>2</v>
      </c>
      <c r="C1097" s="7">
        <v>258.24169597951601</v>
      </c>
      <c r="D1097" s="7">
        <v>2</v>
      </c>
      <c r="E1097" s="1">
        <v>9</v>
      </c>
      <c r="F1097" s="7">
        <v>5</v>
      </c>
      <c r="G1097" s="7">
        <v>5</v>
      </c>
      <c r="H1097" s="7">
        <v>5</v>
      </c>
      <c r="I1097" s="7">
        <v>5</v>
      </c>
      <c r="J1097" s="8">
        <v>5</v>
      </c>
    </row>
    <row r="1098" spans="1:10" hidden="1" x14ac:dyDescent="0.25">
      <c r="A1098" s="6">
        <v>525089</v>
      </c>
      <c r="B1098" s="7">
        <v>1</v>
      </c>
      <c r="C1098" s="7">
        <v>682.95538064777395</v>
      </c>
      <c r="D1098" s="7">
        <v>7</v>
      </c>
      <c r="E1098" s="1">
        <v>7</v>
      </c>
      <c r="F1098" s="7">
        <v>5</v>
      </c>
      <c r="G1098" s="7">
        <v>5</v>
      </c>
      <c r="H1098" s="7">
        <v>5</v>
      </c>
      <c r="I1098" s="7">
        <v>5</v>
      </c>
      <c r="J1098" s="8">
        <v>5</v>
      </c>
    </row>
    <row r="1099" spans="1:10" hidden="1" x14ac:dyDescent="0.25">
      <c r="A1099" s="6">
        <v>525157</v>
      </c>
      <c r="B1099" s="7">
        <v>1</v>
      </c>
      <c r="C1099" s="7">
        <v>685.36433200721297</v>
      </c>
      <c r="D1099" s="7">
        <v>4</v>
      </c>
      <c r="E1099" s="1">
        <v>4</v>
      </c>
      <c r="F1099" s="7">
        <v>5</v>
      </c>
      <c r="G1099" s="7">
        <v>5</v>
      </c>
      <c r="H1099" s="7">
        <v>5</v>
      </c>
      <c r="I1099" s="7">
        <v>5</v>
      </c>
      <c r="J1099" s="8">
        <v>5</v>
      </c>
    </row>
    <row r="1100" spans="1:10" hidden="1" x14ac:dyDescent="0.25">
      <c r="A1100" s="6">
        <v>525160</v>
      </c>
      <c r="B1100" s="7">
        <v>1</v>
      </c>
      <c r="C1100" s="7">
        <v>755.183583389418</v>
      </c>
      <c r="D1100" s="7">
        <v>2</v>
      </c>
      <c r="E1100" s="1">
        <v>6</v>
      </c>
      <c r="F1100" s="7">
        <v>5</v>
      </c>
      <c r="G1100" s="7">
        <v>5</v>
      </c>
      <c r="H1100" s="7">
        <v>5</v>
      </c>
      <c r="I1100" s="7">
        <v>5</v>
      </c>
      <c r="J1100" s="8">
        <v>5</v>
      </c>
    </row>
    <row r="1101" spans="1:10" hidden="1" x14ac:dyDescent="0.25">
      <c r="A1101" s="6">
        <v>525209</v>
      </c>
      <c r="B1101" s="7">
        <v>1</v>
      </c>
      <c r="C1101" s="7">
        <v>1182.8476655738</v>
      </c>
      <c r="D1101" s="7">
        <v>2</v>
      </c>
      <c r="E1101" s="1">
        <v>3</v>
      </c>
      <c r="F1101" s="7">
        <v>5</v>
      </c>
      <c r="G1101" s="7">
        <v>5</v>
      </c>
      <c r="H1101" s="7">
        <v>5</v>
      </c>
      <c r="I1101" s="7">
        <v>5</v>
      </c>
      <c r="J1101" s="8">
        <v>5</v>
      </c>
    </row>
    <row r="1102" spans="1:10" hidden="1" x14ac:dyDescent="0.25">
      <c r="A1102" s="6">
        <v>525222</v>
      </c>
      <c r="B1102" s="7">
        <v>1</v>
      </c>
      <c r="C1102" s="7">
        <v>1594.5815350021501</v>
      </c>
      <c r="D1102" s="7">
        <v>2</v>
      </c>
      <c r="E1102" s="1">
        <v>7</v>
      </c>
      <c r="F1102" s="7">
        <v>5</v>
      </c>
      <c r="G1102" s="7">
        <v>5</v>
      </c>
      <c r="H1102" s="7">
        <v>5</v>
      </c>
      <c r="I1102" s="7">
        <v>5</v>
      </c>
      <c r="J1102" s="8">
        <v>5</v>
      </c>
    </row>
    <row r="1103" spans="1:10" x14ac:dyDescent="0.25">
      <c r="A1103" s="6">
        <v>525232</v>
      </c>
      <c r="B1103" s="7">
        <v>2</v>
      </c>
      <c r="C1103" s="7">
        <v>1327.7694413445299</v>
      </c>
      <c r="D1103" s="7">
        <v>6</v>
      </c>
      <c r="E1103" s="1">
        <v>5</v>
      </c>
      <c r="F1103" s="7">
        <v>5</v>
      </c>
      <c r="G1103" s="7">
        <v>5</v>
      </c>
      <c r="H1103" s="7">
        <v>5</v>
      </c>
      <c r="I1103" s="7">
        <v>5</v>
      </c>
      <c r="J1103" s="8">
        <v>5</v>
      </c>
    </row>
    <row r="1104" spans="1:10" hidden="1" x14ac:dyDescent="0.25">
      <c r="A1104" s="6">
        <v>525284</v>
      </c>
      <c r="B1104" s="7">
        <v>1</v>
      </c>
      <c r="C1104" s="7">
        <v>738.72812419019795</v>
      </c>
      <c r="D1104" s="7">
        <v>5</v>
      </c>
      <c r="E1104" s="1">
        <v>5</v>
      </c>
      <c r="F1104" s="7">
        <v>5</v>
      </c>
      <c r="G1104" s="7">
        <v>5</v>
      </c>
      <c r="H1104" s="7">
        <v>5</v>
      </c>
      <c r="I1104" s="7">
        <v>5</v>
      </c>
      <c r="J1104" s="8">
        <v>5</v>
      </c>
    </row>
    <row r="1105" spans="1:10" x14ac:dyDescent="0.25">
      <c r="A1105" s="6">
        <v>525293</v>
      </c>
      <c r="B1105" s="7">
        <v>2</v>
      </c>
      <c r="C1105" s="7">
        <v>189.53169237667501</v>
      </c>
      <c r="D1105" s="7">
        <v>8</v>
      </c>
      <c r="E1105" s="1">
        <v>8</v>
      </c>
      <c r="F1105" s="7">
        <v>5</v>
      </c>
      <c r="G1105" s="7">
        <v>5</v>
      </c>
      <c r="H1105" s="7">
        <v>5</v>
      </c>
      <c r="I1105" s="7">
        <v>5</v>
      </c>
      <c r="J1105" s="8">
        <v>5</v>
      </c>
    </row>
    <row r="1106" spans="1:10" x14ac:dyDescent="0.25">
      <c r="A1106" s="6">
        <v>525308</v>
      </c>
      <c r="B1106" s="7">
        <v>2</v>
      </c>
      <c r="C1106" s="7">
        <v>995.86833596855399</v>
      </c>
      <c r="D1106" s="7">
        <v>8</v>
      </c>
      <c r="E1106" s="1">
        <v>8</v>
      </c>
      <c r="F1106" s="7">
        <v>5</v>
      </c>
      <c r="G1106" s="7">
        <v>5</v>
      </c>
      <c r="H1106" s="7">
        <v>5</v>
      </c>
      <c r="I1106" s="7">
        <v>5</v>
      </c>
      <c r="J1106" s="8">
        <v>5</v>
      </c>
    </row>
    <row r="1107" spans="1:10" hidden="1" x14ac:dyDescent="0.25">
      <c r="A1107" s="6">
        <v>525332</v>
      </c>
      <c r="B1107" s="7">
        <v>1</v>
      </c>
      <c r="C1107" s="7">
        <v>1450.12501313908</v>
      </c>
      <c r="D1107" s="7">
        <v>4</v>
      </c>
      <c r="E1107" s="1">
        <v>4</v>
      </c>
      <c r="F1107" s="7">
        <v>5</v>
      </c>
      <c r="G1107" s="7">
        <v>5</v>
      </c>
      <c r="H1107" s="7">
        <v>5</v>
      </c>
      <c r="I1107" s="7">
        <v>5</v>
      </c>
      <c r="J1107" s="8">
        <v>5</v>
      </c>
    </row>
    <row r="1108" spans="1:10" x14ac:dyDescent="0.25">
      <c r="A1108" s="6">
        <v>525360</v>
      </c>
      <c r="B1108" s="7">
        <v>2</v>
      </c>
      <c r="C1108" s="7">
        <v>222.25163808131799</v>
      </c>
      <c r="D1108" s="7">
        <v>8</v>
      </c>
      <c r="E1108" s="1">
        <v>8</v>
      </c>
      <c r="F1108" s="7">
        <v>5</v>
      </c>
      <c r="G1108" s="7">
        <v>5</v>
      </c>
      <c r="H1108" s="7">
        <v>5</v>
      </c>
      <c r="I1108" s="7">
        <v>5</v>
      </c>
      <c r="J1108" s="8">
        <v>5</v>
      </c>
    </row>
    <row r="1109" spans="1:10" hidden="1" x14ac:dyDescent="0.25">
      <c r="A1109" s="6">
        <v>525365</v>
      </c>
      <c r="B1109" s="7">
        <v>2</v>
      </c>
      <c r="C1109" s="7">
        <v>1209.6795472300701</v>
      </c>
      <c r="D1109" s="7">
        <v>4</v>
      </c>
      <c r="E1109" s="1">
        <v>4</v>
      </c>
      <c r="F1109" s="7">
        <v>5</v>
      </c>
      <c r="G1109" s="7">
        <v>1</v>
      </c>
      <c r="H1109" s="7">
        <v>1</v>
      </c>
      <c r="I1109" s="7">
        <v>5</v>
      </c>
      <c r="J1109" s="8">
        <v>5</v>
      </c>
    </row>
    <row r="1110" spans="1:10" x14ac:dyDescent="0.25">
      <c r="A1110" s="6">
        <v>525372</v>
      </c>
      <c r="B1110" s="7">
        <v>2</v>
      </c>
      <c r="C1110" s="7">
        <v>663.24972614439105</v>
      </c>
      <c r="D1110" s="7">
        <v>8</v>
      </c>
      <c r="E1110" s="1">
        <v>8</v>
      </c>
      <c r="F1110" s="7">
        <v>5</v>
      </c>
      <c r="G1110" s="7">
        <v>5</v>
      </c>
      <c r="H1110" s="7">
        <v>5</v>
      </c>
      <c r="I1110" s="7">
        <v>5</v>
      </c>
      <c r="J1110" s="8">
        <v>5</v>
      </c>
    </row>
    <row r="1111" spans="1:10" hidden="1" x14ac:dyDescent="0.25">
      <c r="A1111" s="6">
        <v>525373</v>
      </c>
      <c r="B1111" s="7">
        <v>1</v>
      </c>
      <c r="C1111" s="7">
        <v>637.64387573902604</v>
      </c>
      <c r="D1111" s="7">
        <v>2</v>
      </c>
      <c r="E1111" s="1">
        <v>4</v>
      </c>
      <c r="F1111" s="7">
        <v>5</v>
      </c>
      <c r="G1111" s="7">
        <v>5</v>
      </c>
      <c r="H1111" s="7">
        <v>5</v>
      </c>
      <c r="I1111" s="7">
        <v>5</v>
      </c>
      <c r="J1111" s="8">
        <v>5</v>
      </c>
    </row>
    <row r="1112" spans="1:10" hidden="1" x14ac:dyDescent="0.25">
      <c r="A1112" s="6">
        <v>525374</v>
      </c>
      <c r="B1112" s="7">
        <v>1</v>
      </c>
      <c r="C1112" s="7">
        <v>1546.8990863572899</v>
      </c>
      <c r="D1112" s="7">
        <v>4</v>
      </c>
      <c r="E1112" s="1">
        <v>4</v>
      </c>
      <c r="F1112" s="7">
        <v>5</v>
      </c>
      <c r="G1112" s="7">
        <v>5</v>
      </c>
      <c r="H1112" s="7">
        <v>5</v>
      </c>
      <c r="I1112" s="7">
        <v>5</v>
      </c>
      <c r="J1112" s="8">
        <v>5</v>
      </c>
    </row>
    <row r="1113" spans="1:10" hidden="1" x14ac:dyDescent="0.25">
      <c r="A1113" s="6">
        <v>525386</v>
      </c>
      <c r="B1113" s="7">
        <v>1</v>
      </c>
      <c r="C1113" s="7">
        <v>321.81846722307603</v>
      </c>
      <c r="D1113" s="7">
        <v>3</v>
      </c>
      <c r="E1113" s="1">
        <v>3</v>
      </c>
      <c r="F1113" s="7">
        <v>5</v>
      </c>
      <c r="G1113" s="7">
        <v>5</v>
      </c>
      <c r="H1113" s="7">
        <v>5</v>
      </c>
      <c r="I1113" s="7">
        <v>5</v>
      </c>
      <c r="J1113" s="8">
        <v>5</v>
      </c>
    </row>
    <row r="1114" spans="1:10" hidden="1" x14ac:dyDescent="0.25">
      <c r="A1114" s="6">
        <v>525390</v>
      </c>
      <c r="B1114" s="7">
        <v>2</v>
      </c>
      <c r="C1114" s="7">
        <v>93.8148082504282</v>
      </c>
      <c r="D1114" s="7">
        <v>5</v>
      </c>
      <c r="E1114" s="1">
        <v>5</v>
      </c>
      <c r="F1114" s="7">
        <v>5</v>
      </c>
      <c r="G1114" s="7">
        <v>5</v>
      </c>
      <c r="H1114" s="7">
        <v>5</v>
      </c>
      <c r="I1114" s="7">
        <v>5</v>
      </c>
      <c r="J1114" s="8">
        <v>5</v>
      </c>
    </row>
    <row r="1115" spans="1:10" hidden="1" x14ac:dyDescent="0.25">
      <c r="A1115" s="6">
        <v>525393</v>
      </c>
      <c r="B1115" s="7">
        <v>2</v>
      </c>
      <c r="C1115" s="7">
        <v>533.26786977193103</v>
      </c>
      <c r="D1115" s="7">
        <v>7</v>
      </c>
      <c r="E1115" s="1">
        <v>7</v>
      </c>
      <c r="F1115" s="7">
        <v>5</v>
      </c>
      <c r="G1115" s="7">
        <v>5</v>
      </c>
      <c r="H1115" s="7">
        <v>5</v>
      </c>
      <c r="I1115" s="7">
        <v>5</v>
      </c>
      <c r="J1115" s="8">
        <v>5</v>
      </c>
    </row>
    <row r="1116" spans="1:10" hidden="1" x14ac:dyDescent="0.25">
      <c r="A1116" s="6">
        <v>525429</v>
      </c>
      <c r="B1116" s="7">
        <v>1</v>
      </c>
      <c r="C1116" s="7">
        <v>608.21645789450395</v>
      </c>
      <c r="D1116" s="7">
        <v>3</v>
      </c>
      <c r="E1116" s="1">
        <v>3</v>
      </c>
      <c r="F1116" s="7">
        <v>5</v>
      </c>
      <c r="G1116" s="7">
        <v>5</v>
      </c>
      <c r="H1116" s="7">
        <v>5</v>
      </c>
      <c r="I1116" s="7">
        <v>5</v>
      </c>
      <c r="J1116" s="8">
        <v>5</v>
      </c>
    </row>
    <row r="1117" spans="1:10" hidden="1" x14ac:dyDescent="0.25">
      <c r="A1117" s="6">
        <v>525445</v>
      </c>
      <c r="B1117" s="7">
        <v>1</v>
      </c>
      <c r="C1117" s="7">
        <v>1163.11755293184</v>
      </c>
      <c r="D1117" s="7">
        <v>4</v>
      </c>
      <c r="E1117" s="1">
        <v>4</v>
      </c>
      <c r="F1117" s="7">
        <v>5</v>
      </c>
      <c r="G1117" s="7">
        <v>5</v>
      </c>
      <c r="H1117" s="7">
        <v>5</v>
      </c>
      <c r="I1117" s="7">
        <v>5</v>
      </c>
      <c r="J1117" s="8">
        <v>5</v>
      </c>
    </row>
    <row r="1118" spans="1:10" hidden="1" x14ac:dyDescent="0.25">
      <c r="A1118" s="6">
        <v>525550</v>
      </c>
      <c r="B1118" s="7">
        <v>2</v>
      </c>
      <c r="C1118" s="7">
        <v>29.995354201422</v>
      </c>
      <c r="D1118" s="7">
        <v>7</v>
      </c>
      <c r="E1118" s="1">
        <v>5</v>
      </c>
      <c r="F1118" s="7">
        <v>5</v>
      </c>
      <c r="G1118" s="7">
        <v>5</v>
      </c>
      <c r="H1118" s="7">
        <v>5</v>
      </c>
      <c r="I1118" s="7">
        <v>5</v>
      </c>
      <c r="J1118" s="8">
        <v>5</v>
      </c>
    </row>
    <row r="1119" spans="1:10" hidden="1" x14ac:dyDescent="0.25">
      <c r="A1119" s="6">
        <v>525570</v>
      </c>
      <c r="B1119" s="7">
        <v>1</v>
      </c>
      <c r="C1119" s="7">
        <v>882.40557206943697</v>
      </c>
      <c r="D1119" s="7">
        <v>2</v>
      </c>
      <c r="E1119" s="1">
        <v>7</v>
      </c>
      <c r="F1119" s="7">
        <v>5</v>
      </c>
      <c r="G1119" s="7">
        <v>5</v>
      </c>
      <c r="H1119" s="7">
        <v>5</v>
      </c>
      <c r="I1119" s="7">
        <v>5</v>
      </c>
      <c r="J1119" s="8">
        <v>5</v>
      </c>
    </row>
    <row r="1120" spans="1:10" hidden="1" x14ac:dyDescent="0.25">
      <c r="A1120" s="6">
        <v>525578</v>
      </c>
      <c r="B1120" s="7">
        <v>1</v>
      </c>
      <c r="C1120" s="7">
        <v>478.26040585443201</v>
      </c>
      <c r="D1120" s="7">
        <v>1</v>
      </c>
      <c r="E1120" s="1">
        <v>4</v>
      </c>
      <c r="F1120" s="7">
        <v>5</v>
      </c>
      <c r="G1120" s="7">
        <v>5</v>
      </c>
      <c r="H1120" s="7">
        <v>5</v>
      </c>
      <c r="I1120" s="7">
        <v>5</v>
      </c>
      <c r="J1120" s="8">
        <v>5</v>
      </c>
    </row>
    <row r="1121" spans="1:10" hidden="1" x14ac:dyDescent="0.25">
      <c r="A1121" s="6">
        <v>525643</v>
      </c>
      <c r="B1121" s="7">
        <v>1</v>
      </c>
      <c r="C1121" s="7">
        <v>764.44223559178101</v>
      </c>
      <c r="D1121" s="7">
        <v>5</v>
      </c>
      <c r="E1121" s="1">
        <v>4</v>
      </c>
      <c r="F1121" s="7">
        <v>5</v>
      </c>
      <c r="G1121" s="7">
        <v>5</v>
      </c>
      <c r="H1121" s="7">
        <v>5</v>
      </c>
      <c r="I1121" s="7">
        <v>5</v>
      </c>
      <c r="J1121" s="8">
        <v>5</v>
      </c>
    </row>
    <row r="1122" spans="1:10" hidden="1" x14ac:dyDescent="0.25">
      <c r="A1122" s="6">
        <v>525656</v>
      </c>
      <c r="B1122" s="7">
        <v>2</v>
      </c>
      <c r="C1122" s="7">
        <v>140.935648957594</v>
      </c>
      <c r="D1122" s="7">
        <v>7</v>
      </c>
      <c r="E1122" s="1">
        <v>7</v>
      </c>
      <c r="F1122" s="7">
        <v>5</v>
      </c>
      <c r="G1122" s="7">
        <v>5</v>
      </c>
      <c r="H1122" s="7">
        <v>5</v>
      </c>
      <c r="I1122" s="7">
        <v>5</v>
      </c>
      <c r="J1122" s="8">
        <v>5</v>
      </c>
    </row>
    <row r="1123" spans="1:10" hidden="1" x14ac:dyDescent="0.25">
      <c r="A1123" s="6">
        <v>525740</v>
      </c>
      <c r="B1123" s="7">
        <v>2</v>
      </c>
      <c r="C1123" s="7">
        <v>19.232689955051899</v>
      </c>
      <c r="D1123" s="7">
        <v>5</v>
      </c>
      <c r="E1123" s="1">
        <v>5</v>
      </c>
      <c r="F1123" s="7">
        <v>5</v>
      </c>
      <c r="G1123" s="7">
        <v>5</v>
      </c>
      <c r="H1123" s="7">
        <v>5</v>
      </c>
      <c r="I1123" s="7">
        <v>5</v>
      </c>
      <c r="J1123" s="8">
        <v>5</v>
      </c>
    </row>
    <row r="1124" spans="1:10" hidden="1" x14ac:dyDescent="0.25">
      <c r="A1124" s="6">
        <v>525766</v>
      </c>
      <c r="B1124" s="7">
        <v>1</v>
      </c>
      <c r="C1124" s="7">
        <v>522.51669501321101</v>
      </c>
      <c r="D1124" s="7">
        <v>5</v>
      </c>
      <c r="E1124" s="1">
        <v>5</v>
      </c>
      <c r="F1124" s="7">
        <v>5</v>
      </c>
      <c r="G1124" s="7">
        <v>5</v>
      </c>
      <c r="H1124" s="7">
        <v>5</v>
      </c>
      <c r="I1124" s="7">
        <v>5</v>
      </c>
      <c r="J1124" s="8">
        <v>5</v>
      </c>
    </row>
    <row r="1125" spans="1:10" hidden="1" x14ac:dyDescent="0.25">
      <c r="A1125" s="6">
        <v>525789</v>
      </c>
      <c r="B1125" s="7">
        <v>2</v>
      </c>
      <c r="C1125" s="7">
        <v>106.25297755782501</v>
      </c>
      <c r="D1125" s="7">
        <v>5</v>
      </c>
      <c r="E1125" s="1">
        <v>5</v>
      </c>
      <c r="F1125" s="7">
        <v>5</v>
      </c>
      <c r="G1125" s="7">
        <v>5</v>
      </c>
      <c r="H1125" s="7">
        <v>5</v>
      </c>
      <c r="I1125" s="7">
        <v>5</v>
      </c>
      <c r="J1125" s="8">
        <v>5</v>
      </c>
    </row>
    <row r="1126" spans="1:10" hidden="1" x14ac:dyDescent="0.25">
      <c r="A1126" s="6">
        <v>525822</v>
      </c>
      <c r="B1126" s="7">
        <v>1</v>
      </c>
      <c r="C1126" s="7">
        <v>1034.7728582505299</v>
      </c>
      <c r="D1126" s="7">
        <v>5</v>
      </c>
      <c r="E1126" s="1">
        <v>5</v>
      </c>
      <c r="F1126" s="7">
        <v>5</v>
      </c>
      <c r="G1126" s="7">
        <v>5</v>
      </c>
      <c r="H1126" s="7">
        <v>5</v>
      </c>
      <c r="I1126" s="7">
        <v>5</v>
      </c>
      <c r="J1126" s="8">
        <v>5</v>
      </c>
    </row>
    <row r="1127" spans="1:10" hidden="1" x14ac:dyDescent="0.25">
      <c r="A1127" s="6">
        <v>525857</v>
      </c>
      <c r="B1127" s="7">
        <v>1</v>
      </c>
      <c r="C1127" s="7">
        <v>1527.8154762709601</v>
      </c>
      <c r="D1127" s="7">
        <v>1</v>
      </c>
      <c r="E1127" s="1">
        <v>4</v>
      </c>
      <c r="F1127" s="7">
        <v>5</v>
      </c>
      <c r="G1127" s="7">
        <v>5</v>
      </c>
      <c r="H1127" s="7">
        <v>5</v>
      </c>
      <c r="I1127" s="7">
        <v>5</v>
      </c>
      <c r="J1127" s="8">
        <v>5</v>
      </c>
    </row>
    <row r="1128" spans="1:10" hidden="1" x14ac:dyDescent="0.25">
      <c r="A1128" s="6">
        <v>525859</v>
      </c>
      <c r="B1128" s="7">
        <v>2</v>
      </c>
      <c r="C1128" s="7">
        <v>218.087841832762</v>
      </c>
      <c r="D1128" s="7">
        <v>5</v>
      </c>
      <c r="E1128" s="1">
        <v>5</v>
      </c>
      <c r="F1128" s="7">
        <v>5</v>
      </c>
      <c r="G1128" s="7">
        <v>5</v>
      </c>
      <c r="H1128" s="7">
        <v>5</v>
      </c>
      <c r="I1128" s="7">
        <v>5</v>
      </c>
      <c r="J1128" s="8">
        <v>5</v>
      </c>
    </row>
    <row r="1129" spans="1:10" hidden="1" x14ac:dyDescent="0.25">
      <c r="A1129" s="6">
        <v>525860</v>
      </c>
      <c r="B1129" s="7">
        <v>1</v>
      </c>
      <c r="C1129" s="7">
        <v>726.910611854546</v>
      </c>
      <c r="D1129" s="7">
        <v>1</v>
      </c>
      <c r="E1129" s="1">
        <v>3</v>
      </c>
      <c r="F1129" s="7">
        <v>5</v>
      </c>
      <c r="G1129" s="7">
        <v>5</v>
      </c>
      <c r="H1129" s="7">
        <v>5</v>
      </c>
      <c r="I1129" s="7">
        <v>5</v>
      </c>
      <c r="J1129" s="8">
        <v>5</v>
      </c>
    </row>
    <row r="1130" spans="1:10" hidden="1" x14ac:dyDescent="0.25">
      <c r="A1130" s="9">
        <v>525873</v>
      </c>
      <c r="B1130" s="10">
        <v>1</v>
      </c>
      <c r="C1130" s="10">
        <v>1247.95419674749</v>
      </c>
      <c r="D1130" s="10">
        <v>1</v>
      </c>
      <c r="E1130" s="22">
        <v>4</v>
      </c>
      <c r="F1130" s="10">
        <v>5</v>
      </c>
      <c r="G1130" s="10">
        <v>5</v>
      </c>
      <c r="H1130" s="10">
        <v>5</v>
      </c>
      <c r="I1130" s="10">
        <v>5</v>
      </c>
      <c r="J1130" s="11">
        <v>5</v>
      </c>
    </row>
  </sheetData>
  <autoFilter ref="A1:J1130" xr:uid="{3F612FE6-BA6E-470F-8FC7-8814ABAB1B16}">
    <filterColumn colId="3">
      <filters>
        <filter val="6"/>
        <filter val="8"/>
        <filter val="9"/>
      </filters>
    </filterColumn>
  </autoFilter>
  <sortState xmlns:xlrd2="http://schemas.microsoft.com/office/spreadsheetml/2017/richdata2" ref="A2:I1130">
    <sortCondition ref="D1:D113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00C8-A226-4A45-A2BE-61141CB817DA}">
  <dimension ref="A1:C1130"/>
  <sheetViews>
    <sheetView workbookViewId="0">
      <selection activeCell="D2" sqref="D2"/>
    </sheetView>
  </sheetViews>
  <sheetFormatPr defaultRowHeight="15" x14ac:dyDescent="0.25"/>
  <cols>
    <col min="3" max="3" width="11.85546875" style="2" customWidth="1"/>
  </cols>
  <sheetData>
    <row r="1" spans="1:3" x14ac:dyDescent="0.25">
      <c r="A1" t="s">
        <v>4</v>
      </c>
      <c r="B1" t="s">
        <v>26</v>
      </c>
      <c r="C1" s="4" t="s">
        <v>2</v>
      </c>
    </row>
    <row r="2" spans="1:3" x14ac:dyDescent="0.25">
      <c r="A2" t="str">
        <f>IF('Data Kumpulan'!F2=1,"Ya","Tidak")</f>
        <v>Tidak</v>
      </c>
      <c r="B2" t="str">
        <f>IF('Data Kumpulan'!B2=1,"Perkotaan","Pedesaan")</f>
        <v>Perkotaan</v>
      </c>
      <c r="C2" s="7">
        <v>28.4662452084034</v>
      </c>
    </row>
    <row r="3" spans="1:3" x14ac:dyDescent="0.25">
      <c r="B3" t="str">
        <f>IF('Data Kumpulan'!B3=1,"Perkotaan","Pedesaan")</f>
        <v>Perkotaan</v>
      </c>
      <c r="C3" s="7">
        <v>120.27253230555</v>
      </c>
    </row>
    <row r="4" spans="1:3" x14ac:dyDescent="0.25">
      <c r="B4" t="str">
        <f>IF('Data Kumpulan'!B4=1,"Perkotaan","Pedesaan")</f>
        <v>Perkotaan</v>
      </c>
      <c r="C4" s="7">
        <v>1044.48159846205</v>
      </c>
    </row>
    <row r="5" spans="1:3" x14ac:dyDescent="0.25">
      <c r="B5" t="str">
        <f>IF('Data Kumpulan'!B5=1,"Perkotaan","Pedesaan")</f>
        <v>Perkotaan</v>
      </c>
      <c r="C5" s="7">
        <v>1449.6064944644099</v>
      </c>
    </row>
    <row r="6" spans="1:3" x14ac:dyDescent="0.25">
      <c r="B6" t="str">
        <f>IF('Data Kumpulan'!B6=1,"Perkotaan","Pedesaan")</f>
        <v>Pedesaan</v>
      </c>
      <c r="C6" s="7">
        <v>26.9878068724115</v>
      </c>
    </row>
    <row r="7" spans="1:3" x14ac:dyDescent="0.25">
      <c r="B7" t="str">
        <f>IF('Data Kumpulan'!B7=1,"Perkotaan","Pedesaan")</f>
        <v>Pedesaan</v>
      </c>
      <c r="C7" s="7">
        <v>420.70705425902901</v>
      </c>
    </row>
    <row r="8" spans="1:3" x14ac:dyDescent="0.25">
      <c r="B8" t="str">
        <f>IF('Data Kumpulan'!B8=1,"Perkotaan","Pedesaan")</f>
        <v>Pedesaan</v>
      </c>
      <c r="C8" s="7">
        <v>138.35534902701301</v>
      </c>
    </row>
    <row r="9" spans="1:3" x14ac:dyDescent="0.25">
      <c r="B9" t="str">
        <f>IF('Data Kumpulan'!B9=1,"Perkotaan","Pedesaan")</f>
        <v>Pedesaan</v>
      </c>
      <c r="C9" s="7">
        <v>722.57353472476996</v>
      </c>
    </row>
    <row r="10" spans="1:3" x14ac:dyDescent="0.25">
      <c r="B10" t="str">
        <f>IF('Data Kumpulan'!B10=1,"Perkotaan","Pedesaan")</f>
        <v>Pedesaan</v>
      </c>
      <c r="C10" s="7">
        <v>411.07108413438601</v>
      </c>
    </row>
    <row r="11" spans="1:3" x14ac:dyDescent="0.25">
      <c r="B11" t="str">
        <f>IF('Data Kumpulan'!B11=1,"Perkotaan","Pedesaan")</f>
        <v>Perkotaan</v>
      </c>
      <c r="C11" s="7">
        <v>406.90410439773098</v>
      </c>
    </row>
    <row r="12" spans="1:3" x14ac:dyDescent="0.25">
      <c r="B12" t="str">
        <f>IF('Data Kumpulan'!B12=1,"Perkotaan","Pedesaan")</f>
        <v>Pedesaan</v>
      </c>
      <c r="C12" s="7">
        <v>415.11244800854303</v>
      </c>
    </row>
    <row r="13" spans="1:3" x14ac:dyDescent="0.25">
      <c r="B13" t="str">
        <f>IF('Data Kumpulan'!B13=1,"Perkotaan","Pedesaan")</f>
        <v>Pedesaan</v>
      </c>
      <c r="C13" s="7">
        <v>238.974491771251</v>
      </c>
    </row>
    <row r="14" spans="1:3" x14ac:dyDescent="0.25">
      <c r="B14" t="str">
        <f>IF('Data Kumpulan'!B14=1,"Perkotaan","Pedesaan")</f>
        <v>Pedesaan</v>
      </c>
      <c r="C14" s="7">
        <v>108.934545495346</v>
      </c>
    </row>
    <row r="15" spans="1:3" x14ac:dyDescent="0.25">
      <c r="B15" t="str">
        <f>IF('Data Kumpulan'!B15=1,"Perkotaan","Pedesaan")</f>
        <v>Pedesaan</v>
      </c>
      <c r="C15" s="7">
        <v>2133.07147908773</v>
      </c>
    </row>
    <row r="16" spans="1:3" x14ac:dyDescent="0.25">
      <c r="B16" t="str">
        <f>IF('Data Kumpulan'!B16=1,"Perkotaan","Pedesaan")</f>
        <v>Perkotaan</v>
      </c>
      <c r="C16" s="7">
        <v>1062.6379834623699</v>
      </c>
    </row>
    <row r="17" spans="2:3" x14ac:dyDescent="0.25">
      <c r="B17" t="str">
        <f>IF('Data Kumpulan'!B17=1,"Perkotaan","Pedesaan")</f>
        <v>Perkotaan</v>
      </c>
      <c r="C17" s="7">
        <v>1043.3126444086799</v>
      </c>
    </row>
    <row r="18" spans="2:3" x14ac:dyDescent="0.25">
      <c r="B18" t="str">
        <f>IF('Data Kumpulan'!B18=1,"Perkotaan","Pedesaan")</f>
        <v>Pedesaan</v>
      </c>
      <c r="C18" s="7">
        <v>659.15837792001605</v>
      </c>
    </row>
    <row r="19" spans="2:3" x14ac:dyDescent="0.25">
      <c r="B19" t="str">
        <f>IF('Data Kumpulan'!B20=1,"Perkotaan","Pedesaan")</f>
        <v>Perkotaan</v>
      </c>
      <c r="C19" s="7">
        <v>618.10716958866794</v>
      </c>
    </row>
    <row r="20" spans="2:3" x14ac:dyDescent="0.25">
      <c r="B20" t="str">
        <f>IF('Data Kumpulan'!B21=1,"Perkotaan","Pedesaan")</f>
        <v>Pedesaan</v>
      </c>
      <c r="C20" s="7">
        <v>115.903436444058</v>
      </c>
    </row>
    <row r="21" spans="2:3" x14ac:dyDescent="0.25">
      <c r="B21" t="str">
        <f>IF('Data Kumpulan'!B22=1,"Perkotaan","Pedesaan")</f>
        <v>Perkotaan</v>
      </c>
      <c r="C21" s="7">
        <v>926.37081924318795</v>
      </c>
    </row>
    <row r="22" spans="2:3" x14ac:dyDescent="0.25">
      <c r="B22" t="str">
        <f>IF('Data Kumpulan'!B23=1,"Perkotaan","Pedesaan")</f>
        <v>Perkotaan</v>
      </c>
      <c r="C22" s="7">
        <v>320.36128730871002</v>
      </c>
    </row>
    <row r="23" spans="2:3" x14ac:dyDescent="0.25">
      <c r="B23" t="str">
        <f>IF('Data Kumpulan'!B25=1,"Perkotaan","Pedesaan")</f>
        <v>Pedesaan</v>
      </c>
      <c r="C23" s="7">
        <v>694.26307511893594</v>
      </c>
    </row>
    <row r="24" spans="2:3" x14ac:dyDescent="0.25">
      <c r="B24" t="str">
        <f>IF('Data Kumpulan'!B26=1,"Perkotaan","Pedesaan")</f>
        <v>Pedesaan</v>
      </c>
      <c r="C24" s="7">
        <v>1666.1075021971201</v>
      </c>
    </row>
    <row r="25" spans="2:3" x14ac:dyDescent="0.25">
      <c r="B25" t="str">
        <f>IF('Data Kumpulan'!B27=1,"Perkotaan","Pedesaan")</f>
        <v>Pedesaan</v>
      </c>
      <c r="C25" s="7">
        <v>278.15186997288902</v>
      </c>
    </row>
    <row r="26" spans="2:3" x14ac:dyDescent="0.25">
      <c r="B26" t="str">
        <f>IF('Data Kumpulan'!B28=1,"Perkotaan","Pedesaan")</f>
        <v>Perkotaan</v>
      </c>
      <c r="C26" s="7">
        <v>1202.7173129248999</v>
      </c>
    </row>
    <row r="27" spans="2:3" x14ac:dyDescent="0.25">
      <c r="B27" t="str">
        <f>IF('Data Kumpulan'!B29=1,"Perkotaan","Pedesaan")</f>
        <v>Perkotaan</v>
      </c>
      <c r="C27" s="7">
        <v>434.30322557484402</v>
      </c>
    </row>
    <row r="28" spans="2:3" x14ac:dyDescent="0.25">
      <c r="B28" t="str">
        <f>IF('Data Kumpulan'!B30=1,"Perkotaan","Pedesaan")</f>
        <v>Perkotaan</v>
      </c>
      <c r="C28" s="7">
        <v>580.66592444510695</v>
      </c>
    </row>
    <row r="29" spans="2:3" x14ac:dyDescent="0.25">
      <c r="B29" t="str">
        <f>IF('Data Kumpulan'!B31=1,"Perkotaan","Pedesaan")</f>
        <v>Pedesaan</v>
      </c>
      <c r="C29" s="7">
        <v>26.269039938607399</v>
      </c>
    </row>
    <row r="30" spans="2:3" x14ac:dyDescent="0.25">
      <c r="B30" t="str">
        <f>IF('Data Kumpulan'!B32=1,"Perkotaan","Pedesaan")</f>
        <v>Pedesaan</v>
      </c>
      <c r="C30" s="7">
        <v>81.600866867039997</v>
      </c>
    </row>
    <row r="31" spans="2:3" x14ac:dyDescent="0.25">
      <c r="B31" t="str">
        <f>IF('Data Kumpulan'!B33=1,"Perkotaan","Pedesaan")</f>
        <v>Perkotaan</v>
      </c>
      <c r="C31" s="7">
        <v>583.02486161699505</v>
      </c>
    </row>
    <row r="32" spans="2:3" x14ac:dyDescent="0.25">
      <c r="B32" t="str">
        <f>IF('Data Kumpulan'!B34=1,"Perkotaan","Pedesaan")</f>
        <v>Perkotaan</v>
      </c>
      <c r="C32" s="7">
        <v>1223.1925640094701</v>
      </c>
    </row>
    <row r="33" spans="2:3" x14ac:dyDescent="0.25">
      <c r="B33" t="str">
        <f>IF('Data Kumpulan'!B35=1,"Perkotaan","Pedesaan")</f>
        <v>Pedesaan</v>
      </c>
      <c r="C33" s="7">
        <v>191.76652435284501</v>
      </c>
    </row>
    <row r="34" spans="2:3" x14ac:dyDescent="0.25">
      <c r="B34" t="str">
        <f>IF('Data Kumpulan'!B36=1,"Perkotaan","Pedesaan")</f>
        <v>Perkotaan</v>
      </c>
      <c r="C34" s="7">
        <v>645.09883439709404</v>
      </c>
    </row>
    <row r="35" spans="2:3" x14ac:dyDescent="0.25">
      <c r="B35" t="str">
        <f>IF('Data Kumpulan'!B37=1,"Perkotaan","Pedesaan")</f>
        <v>Pedesaan</v>
      </c>
      <c r="C35" s="7">
        <v>318.53529563008101</v>
      </c>
    </row>
    <row r="36" spans="2:3" x14ac:dyDescent="0.25">
      <c r="B36" t="str">
        <f>IF('Data Kumpulan'!B38=1,"Perkotaan","Pedesaan")</f>
        <v>Perkotaan</v>
      </c>
      <c r="C36" s="7">
        <v>343.14677280435001</v>
      </c>
    </row>
    <row r="37" spans="2:3" x14ac:dyDescent="0.25">
      <c r="B37" t="str">
        <f>IF('Data Kumpulan'!B39=1,"Perkotaan","Pedesaan")</f>
        <v>Pedesaan</v>
      </c>
      <c r="C37" s="7">
        <v>614.63490190070797</v>
      </c>
    </row>
    <row r="38" spans="2:3" x14ac:dyDescent="0.25">
      <c r="B38" t="str">
        <f>IF('Data Kumpulan'!B40=1,"Perkotaan","Pedesaan")</f>
        <v>Perkotaan</v>
      </c>
      <c r="C38" s="7">
        <v>557.96053186514905</v>
      </c>
    </row>
    <row r="39" spans="2:3" x14ac:dyDescent="0.25">
      <c r="B39" t="str">
        <f>IF('Data Kumpulan'!B41=1,"Perkotaan","Pedesaan")</f>
        <v>Perkotaan</v>
      </c>
      <c r="C39" s="7">
        <v>929.88506111306197</v>
      </c>
    </row>
    <row r="40" spans="2:3" x14ac:dyDescent="0.25">
      <c r="B40" t="str">
        <f>IF('Data Kumpulan'!B42=1,"Perkotaan","Pedesaan")</f>
        <v>Pedesaan</v>
      </c>
      <c r="C40" s="7">
        <v>91.741886162332904</v>
      </c>
    </row>
    <row r="41" spans="2:3" x14ac:dyDescent="0.25">
      <c r="B41" t="str">
        <f>IF('Data Kumpulan'!B43=1,"Perkotaan","Pedesaan")</f>
        <v>Pedesaan</v>
      </c>
      <c r="C41" s="7">
        <v>393.00532613864902</v>
      </c>
    </row>
    <row r="42" spans="2:3" x14ac:dyDescent="0.25">
      <c r="B42" t="str">
        <f>IF('Data Kumpulan'!B44=1,"Perkotaan","Pedesaan")</f>
        <v>Perkotaan</v>
      </c>
      <c r="C42" s="7">
        <v>1370.19725929946</v>
      </c>
    </row>
    <row r="43" spans="2:3" x14ac:dyDescent="0.25">
      <c r="B43" t="str">
        <f>IF('Data Kumpulan'!B45=1,"Perkotaan","Pedesaan")</f>
        <v>Pedesaan</v>
      </c>
      <c r="C43" s="7">
        <v>366.14093142184902</v>
      </c>
    </row>
    <row r="44" spans="2:3" x14ac:dyDescent="0.25">
      <c r="B44" t="str">
        <f>IF('Data Kumpulan'!B46=1,"Perkotaan","Pedesaan")</f>
        <v>Perkotaan</v>
      </c>
      <c r="C44" s="7">
        <v>823.624477922913</v>
      </c>
    </row>
    <row r="45" spans="2:3" x14ac:dyDescent="0.25">
      <c r="B45" t="str">
        <f>IF('Data Kumpulan'!B47=1,"Perkotaan","Pedesaan")</f>
        <v>Perkotaan</v>
      </c>
      <c r="C45" s="7">
        <v>656.95093435167405</v>
      </c>
    </row>
    <row r="46" spans="2:3" x14ac:dyDescent="0.25">
      <c r="B46" t="str">
        <f>IF('Data Kumpulan'!B48=1,"Perkotaan","Pedesaan")</f>
        <v>Perkotaan</v>
      </c>
      <c r="C46" s="7">
        <v>373.22145769427601</v>
      </c>
    </row>
    <row r="47" spans="2:3" x14ac:dyDescent="0.25">
      <c r="B47" t="str">
        <f>IF('Data Kumpulan'!B49=1,"Perkotaan","Pedesaan")</f>
        <v>Perkotaan</v>
      </c>
      <c r="C47" s="7">
        <v>472.28641171125702</v>
      </c>
    </row>
    <row r="48" spans="2:3" x14ac:dyDescent="0.25">
      <c r="B48" t="str">
        <f>IF('Data Kumpulan'!B50=1,"Perkotaan","Pedesaan")</f>
        <v>Perkotaan</v>
      </c>
      <c r="C48" s="7">
        <v>936.19999607462398</v>
      </c>
    </row>
    <row r="49" spans="2:3" x14ac:dyDescent="0.25">
      <c r="B49" t="str">
        <f>IF('Data Kumpulan'!B51=1,"Perkotaan","Pedesaan")</f>
        <v>Perkotaan</v>
      </c>
      <c r="C49" s="7">
        <v>152.313842601907</v>
      </c>
    </row>
    <row r="50" spans="2:3" x14ac:dyDescent="0.25">
      <c r="B50" t="str">
        <f>IF('Data Kumpulan'!B52=1,"Perkotaan","Pedesaan")</f>
        <v>Perkotaan</v>
      </c>
      <c r="C50" s="7">
        <v>1556.75487555771</v>
      </c>
    </row>
    <row r="51" spans="2:3" x14ac:dyDescent="0.25">
      <c r="B51" t="str">
        <f>IF('Data Kumpulan'!B53=1,"Perkotaan","Pedesaan")</f>
        <v>Pedesaan</v>
      </c>
      <c r="C51" s="7">
        <v>247.34996502331501</v>
      </c>
    </row>
    <row r="52" spans="2:3" x14ac:dyDescent="0.25">
      <c r="B52" t="str">
        <f>IF('Data Kumpulan'!B54=1,"Perkotaan","Pedesaan")</f>
        <v>Pedesaan</v>
      </c>
      <c r="C52" s="7">
        <v>120.467207413666</v>
      </c>
    </row>
    <row r="53" spans="2:3" x14ac:dyDescent="0.25">
      <c r="B53" t="str">
        <f>IF('Data Kumpulan'!B55=1,"Perkotaan","Pedesaan")</f>
        <v>Perkotaan</v>
      </c>
      <c r="C53" s="7">
        <v>1323.4522178217601</v>
      </c>
    </row>
    <row r="54" spans="2:3" x14ac:dyDescent="0.25">
      <c r="B54" t="str">
        <f>IF('Data Kumpulan'!B56=1,"Perkotaan","Pedesaan")</f>
        <v>Perkotaan</v>
      </c>
      <c r="C54" s="7">
        <v>1003.51954782698</v>
      </c>
    </row>
    <row r="55" spans="2:3" x14ac:dyDescent="0.25">
      <c r="B55" t="str">
        <f>IF('Data Kumpulan'!B57=1,"Perkotaan","Pedesaan")</f>
        <v>Perkotaan</v>
      </c>
      <c r="C55" s="7">
        <v>457.77991163061802</v>
      </c>
    </row>
    <row r="56" spans="2:3" x14ac:dyDescent="0.25">
      <c r="B56" t="str">
        <f>IF('Data Kumpulan'!B58=1,"Perkotaan","Pedesaan")</f>
        <v>Pedesaan</v>
      </c>
      <c r="C56" s="7">
        <v>330.26254684205003</v>
      </c>
    </row>
    <row r="57" spans="2:3" x14ac:dyDescent="0.25">
      <c r="B57" t="str">
        <f>IF('Data Kumpulan'!B60=1,"Perkotaan","Pedesaan")</f>
        <v>Pedesaan</v>
      </c>
      <c r="C57" s="7">
        <v>29.6975359600067</v>
      </c>
    </row>
    <row r="58" spans="2:3" x14ac:dyDescent="0.25">
      <c r="B58" t="str">
        <f>IF('Data Kumpulan'!B61=1,"Perkotaan","Pedesaan")</f>
        <v>Pedesaan</v>
      </c>
      <c r="C58" s="7">
        <v>112.86492585339801</v>
      </c>
    </row>
    <row r="59" spans="2:3" x14ac:dyDescent="0.25">
      <c r="B59" t="str">
        <f>IF('Data Kumpulan'!B62=1,"Perkotaan","Pedesaan")</f>
        <v>Perkotaan</v>
      </c>
      <c r="C59" s="7">
        <v>463.01798466317302</v>
      </c>
    </row>
    <row r="60" spans="2:3" x14ac:dyDescent="0.25">
      <c r="B60" t="str">
        <f>IF('Data Kumpulan'!B63=1,"Perkotaan","Pedesaan")</f>
        <v>Perkotaan</v>
      </c>
      <c r="C60" s="7">
        <v>1374.44862490431</v>
      </c>
    </row>
    <row r="61" spans="2:3" x14ac:dyDescent="0.25">
      <c r="B61" t="str">
        <f>IF('Data Kumpulan'!B64=1,"Perkotaan","Pedesaan")</f>
        <v>Perkotaan</v>
      </c>
      <c r="C61" s="7">
        <v>1381.3343732896601</v>
      </c>
    </row>
    <row r="62" spans="2:3" x14ac:dyDescent="0.25">
      <c r="B62" t="str">
        <f>IF('Data Kumpulan'!B65=1,"Perkotaan","Pedesaan")</f>
        <v>Pedesaan</v>
      </c>
      <c r="C62" s="7">
        <v>219.671914176776</v>
      </c>
    </row>
    <row r="63" spans="2:3" x14ac:dyDescent="0.25">
      <c r="B63" t="str">
        <f>IF('Data Kumpulan'!B66=1,"Perkotaan","Pedesaan")</f>
        <v>Pedesaan</v>
      </c>
      <c r="C63" s="7">
        <v>1442.84185563456</v>
      </c>
    </row>
    <row r="64" spans="2:3" x14ac:dyDescent="0.25">
      <c r="B64" t="str">
        <f>IF('Data Kumpulan'!B67=1,"Perkotaan","Pedesaan")</f>
        <v>Pedesaan</v>
      </c>
      <c r="C64" s="7">
        <v>894.95747966607905</v>
      </c>
    </row>
    <row r="65" spans="2:3" x14ac:dyDescent="0.25">
      <c r="B65" t="str">
        <f>IF('Data Kumpulan'!B68=1,"Perkotaan","Pedesaan")</f>
        <v>Perkotaan</v>
      </c>
      <c r="C65" s="7">
        <v>781.10086983984195</v>
      </c>
    </row>
    <row r="66" spans="2:3" x14ac:dyDescent="0.25">
      <c r="B66" t="str">
        <f>IF('Data Kumpulan'!B69=1,"Perkotaan","Pedesaan")</f>
        <v>Pedesaan</v>
      </c>
      <c r="C66" s="7">
        <v>131.511021484368</v>
      </c>
    </row>
    <row r="67" spans="2:3" x14ac:dyDescent="0.25">
      <c r="B67" t="str">
        <f>IF('Data Kumpulan'!B70=1,"Perkotaan","Pedesaan")</f>
        <v>Perkotaan</v>
      </c>
      <c r="C67" s="7">
        <v>880.29119118703204</v>
      </c>
    </row>
    <row r="68" spans="2:3" x14ac:dyDescent="0.25">
      <c r="B68" t="str">
        <f>IF('Data Kumpulan'!B71=1,"Perkotaan","Pedesaan")</f>
        <v>Perkotaan</v>
      </c>
      <c r="C68" s="7">
        <v>358.33951593856602</v>
      </c>
    </row>
    <row r="69" spans="2:3" x14ac:dyDescent="0.25">
      <c r="B69" t="str">
        <f>IF('Data Kumpulan'!B72=1,"Perkotaan","Pedesaan")</f>
        <v>Pedesaan</v>
      </c>
      <c r="C69" s="7">
        <v>328.38064899920403</v>
      </c>
    </row>
    <row r="70" spans="2:3" x14ac:dyDescent="0.25">
      <c r="B70" t="str">
        <f>IF('Data Kumpulan'!B73=1,"Perkotaan","Pedesaan")</f>
        <v>Pedesaan</v>
      </c>
      <c r="C70" s="7">
        <v>412.070626641947</v>
      </c>
    </row>
    <row r="71" spans="2:3" x14ac:dyDescent="0.25">
      <c r="B71" t="str">
        <f>IF('Data Kumpulan'!B74=1,"Perkotaan","Pedesaan")</f>
        <v>Pedesaan</v>
      </c>
      <c r="C71" s="7">
        <v>28.849034932577901</v>
      </c>
    </row>
    <row r="72" spans="2:3" x14ac:dyDescent="0.25">
      <c r="B72" t="str">
        <f>IF('Data Kumpulan'!B75=1,"Perkotaan","Pedesaan")</f>
        <v>Pedesaan</v>
      </c>
      <c r="C72" s="7">
        <v>547.05535433971602</v>
      </c>
    </row>
    <row r="73" spans="2:3" x14ac:dyDescent="0.25">
      <c r="B73" t="str">
        <f>IF('Data Kumpulan'!B76=1,"Perkotaan","Pedesaan")</f>
        <v>Perkotaan</v>
      </c>
      <c r="C73" s="7">
        <v>461.94618401711801</v>
      </c>
    </row>
    <row r="74" spans="2:3" x14ac:dyDescent="0.25">
      <c r="B74" t="str">
        <f>IF('Data Kumpulan'!B77=1,"Perkotaan","Pedesaan")</f>
        <v>Pedesaan</v>
      </c>
      <c r="C74" s="7">
        <v>1246.1946443316299</v>
      </c>
    </row>
    <row r="75" spans="2:3" x14ac:dyDescent="0.25">
      <c r="B75" t="str">
        <f>IF('Data Kumpulan'!B78=1,"Perkotaan","Pedesaan")</f>
        <v>Pedesaan</v>
      </c>
      <c r="C75" s="7">
        <v>634.71873665476801</v>
      </c>
    </row>
    <row r="76" spans="2:3" x14ac:dyDescent="0.25">
      <c r="B76" t="str">
        <f>IF('Data Kumpulan'!B79=1,"Perkotaan","Pedesaan")</f>
        <v>Pedesaan</v>
      </c>
      <c r="C76" s="7">
        <v>461.58521940419001</v>
      </c>
    </row>
    <row r="77" spans="2:3" x14ac:dyDescent="0.25">
      <c r="B77" t="str">
        <f>IF('Data Kumpulan'!B80=1,"Perkotaan","Pedesaan")</f>
        <v>Pedesaan</v>
      </c>
      <c r="C77" s="7">
        <v>267.68350225081201</v>
      </c>
    </row>
    <row r="78" spans="2:3" x14ac:dyDescent="0.25">
      <c r="B78" t="str">
        <f>IF('Data Kumpulan'!B81=1,"Perkotaan","Pedesaan")</f>
        <v>Pedesaan</v>
      </c>
      <c r="C78" s="7">
        <v>1193.9315847451701</v>
      </c>
    </row>
    <row r="79" spans="2:3" x14ac:dyDescent="0.25">
      <c r="B79" t="str">
        <f>IF('Data Kumpulan'!B82=1,"Perkotaan","Pedesaan")</f>
        <v>Perkotaan</v>
      </c>
      <c r="C79" s="7">
        <v>691.14951016694897</v>
      </c>
    </row>
    <row r="80" spans="2:3" x14ac:dyDescent="0.25">
      <c r="B80" t="str">
        <f>IF('Data Kumpulan'!B83=1,"Perkotaan","Pedesaan")</f>
        <v>Pedesaan</v>
      </c>
      <c r="C80" s="7">
        <v>1034.6253240887399</v>
      </c>
    </row>
    <row r="81" spans="2:3" x14ac:dyDescent="0.25">
      <c r="B81" t="str">
        <f>IF('Data Kumpulan'!B84=1,"Perkotaan","Pedesaan")</f>
        <v>Perkotaan</v>
      </c>
      <c r="C81" s="7">
        <v>933.07638544714996</v>
      </c>
    </row>
    <row r="82" spans="2:3" x14ac:dyDescent="0.25">
      <c r="B82" t="str">
        <f>IF('Data Kumpulan'!B85=1,"Perkotaan","Pedesaan")</f>
        <v>Pedesaan</v>
      </c>
      <c r="C82" s="7">
        <v>455.43577905942902</v>
      </c>
    </row>
    <row r="83" spans="2:3" x14ac:dyDescent="0.25">
      <c r="B83" t="str">
        <f>IF('Data Kumpulan'!B86=1,"Perkotaan","Pedesaan")</f>
        <v>Perkotaan</v>
      </c>
      <c r="C83" s="7">
        <v>1307.09227339067</v>
      </c>
    </row>
    <row r="84" spans="2:3" x14ac:dyDescent="0.25">
      <c r="B84" t="str">
        <f>IF('Data Kumpulan'!B87=1,"Perkotaan","Pedesaan")</f>
        <v>Pedesaan</v>
      </c>
      <c r="C84" s="7">
        <v>92.377684456550796</v>
      </c>
    </row>
    <row r="85" spans="2:3" x14ac:dyDescent="0.25">
      <c r="B85" t="str">
        <f>IF('Data Kumpulan'!B88=1,"Perkotaan","Pedesaan")</f>
        <v>Perkotaan</v>
      </c>
      <c r="C85" s="7">
        <v>980.13121352279302</v>
      </c>
    </row>
    <row r="86" spans="2:3" x14ac:dyDescent="0.25">
      <c r="B86" t="str">
        <f>IF('Data Kumpulan'!B89=1,"Perkotaan","Pedesaan")</f>
        <v>Perkotaan</v>
      </c>
      <c r="C86" s="7">
        <v>2130.6040466656</v>
      </c>
    </row>
    <row r="87" spans="2:3" x14ac:dyDescent="0.25">
      <c r="B87" t="str">
        <f>IF('Data Kumpulan'!B90=1,"Perkotaan","Pedesaan")</f>
        <v>Perkotaan</v>
      </c>
      <c r="C87" s="7">
        <v>1609.5856657076399</v>
      </c>
    </row>
    <row r="88" spans="2:3" x14ac:dyDescent="0.25">
      <c r="B88" t="str">
        <f>IF('Data Kumpulan'!B91=1,"Perkotaan","Pedesaan")</f>
        <v>Pedesaan</v>
      </c>
      <c r="C88" s="7">
        <v>600.49719296597095</v>
      </c>
    </row>
    <row r="89" spans="2:3" x14ac:dyDescent="0.25">
      <c r="B89" t="str">
        <f>IF('Data Kumpulan'!B92=1,"Perkotaan","Pedesaan")</f>
        <v>Perkotaan</v>
      </c>
      <c r="C89" s="7">
        <v>828.93097048246102</v>
      </c>
    </row>
    <row r="90" spans="2:3" x14ac:dyDescent="0.25">
      <c r="B90" t="str">
        <f>IF('Data Kumpulan'!B93=1,"Perkotaan","Pedesaan")</f>
        <v>Perkotaan</v>
      </c>
      <c r="C90" s="7">
        <v>687.87431194170301</v>
      </c>
    </row>
    <row r="91" spans="2:3" x14ac:dyDescent="0.25">
      <c r="B91" t="str">
        <f>IF('Data Kumpulan'!B94=1,"Perkotaan","Pedesaan")</f>
        <v>Pedesaan</v>
      </c>
      <c r="C91" s="7">
        <v>86.480916824856493</v>
      </c>
    </row>
    <row r="92" spans="2:3" x14ac:dyDescent="0.25">
      <c r="B92" t="str">
        <f>IF('Data Kumpulan'!B95=1,"Perkotaan","Pedesaan")</f>
        <v>Pedesaan</v>
      </c>
      <c r="C92" s="7">
        <v>128.33462104681701</v>
      </c>
    </row>
    <row r="93" spans="2:3" x14ac:dyDescent="0.25">
      <c r="B93" t="str">
        <f>IF('Data Kumpulan'!B96=1,"Perkotaan","Pedesaan")</f>
        <v>Perkotaan</v>
      </c>
      <c r="C93" s="7">
        <v>661.36818823649105</v>
      </c>
    </row>
    <row r="94" spans="2:3" x14ac:dyDescent="0.25">
      <c r="B94" t="str">
        <f>IF('Data Kumpulan'!B97=1,"Perkotaan","Pedesaan")</f>
        <v>Perkotaan</v>
      </c>
      <c r="C94" s="7">
        <v>784.02050228139797</v>
      </c>
    </row>
    <row r="95" spans="2:3" x14ac:dyDescent="0.25">
      <c r="B95" t="str">
        <f>IF('Data Kumpulan'!B98=1,"Perkotaan","Pedesaan")</f>
        <v>Pedesaan</v>
      </c>
      <c r="C95" s="7">
        <v>597.45037110598196</v>
      </c>
    </row>
    <row r="96" spans="2:3" x14ac:dyDescent="0.25">
      <c r="B96" t="str">
        <f>IF('Data Kumpulan'!B99=1,"Perkotaan","Pedesaan")</f>
        <v>Pedesaan</v>
      </c>
      <c r="C96" s="7">
        <v>263.33808592857002</v>
      </c>
    </row>
    <row r="97" spans="2:3" x14ac:dyDescent="0.25">
      <c r="B97" t="str">
        <f>IF('Data Kumpulan'!B100=1,"Perkotaan","Pedesaan")</f>
        <v>Perkotaan</v>
      </c>
      <c r="C97" s="7">
        <v>681.501968055887</v>
      </c>
    </row>
    <row r="98" spans="2:3" x14ac:dyDescent="0.25">
      <c r="B98" t="str">
        <f>IF('Data Kumpulan'!B101=1,"Perkotaan","Pedesaan")</f>
        <v>Pedesaan</v>
      </c>
      <c r="C98" s="7">
        <v>427.395490090647</v>
      </c>
    </row>
    <row r="99" spans="2:3" x14ac:dyDescent="0.25">
      <c r="B99" t="str">
        <f>IF('Data Kumpulan'!B102=1,"Perkotaan","Pedesaan")</f>
        <v>Pedesaan</v>
      </c>
      <c r="C99" s="7">
        <v>352.99413528447002</v>
      </c>
    </row>
    <row r="100" spans="2:3" x14ac:dyDescent="0.25">
      <c r="B100" t="str">
        <f>IF('Data Kumpulan'!B103=1,"Perkotaan","Pedesaan")</f>
        <v>Perkotaan</v>
      </c>
      <c r="C100" s="7">
        <v>381.196323803072</v>
      </c>
    </row>
    <row r="101" spans="2:3" x14ac:dyDescent="0.25">
      <c r="B101" t="str">
        <f>IF('Data Kumpulan'!B104=1,"Perkotaan","Pedesaan")</f>
        <v>Perkotaan</v>
      </c>
      <c r="C101" s="7">
        <v>453.46882029647497</v>
      </c>
    </row>
    <row r="102" spans="2:3" x14ac:dyDescent="0.25">
      <c r="B102" t="str">
        <f>IF('Data Kumpulan'!B105=1,"Perkotaan","Pedesaan")</f>
        <v>Pedesaan</v>
      </c>
      <c r="C102" s="7">
        <v>362.37418202043801</v>
      </c>
    </row>
    <row r="103" spans="2:3" x14ac:dyDescent="0.25">
      <c r="B103" t="str">
        <f>IF('Data Kumpulan'!B106=1,"Perkotaan","Pedesaan")</f>
        <v>Perkotaan</v>
      </c>
      <c r="C103" s="7">
        <v>588.12797260281502</v>
      </c>
    </row>
    <row r="104" spans="2:3" x14ac:dyDescent="0.25">
      <c r="B104" t="str">
        <f>IF('Data Kumpulan'!B107=1,"Perkotaan","Pedesaan")</f>
        <v>Perkotaan</v>
      </c>
      <c r="C104" s="7">
        <v>468.29391572620102</v>
      </c>
    </row>
    <row r="105" spans="2:3" x14ac:dyDescent="0.25">
      <c r="B105" t="str">
        <f>IF('Data Kumpulan'!B108=1,"Perkotaan","Pedesaan")</f>
        <v>Perkotaan</v>
      </c>
      <c r="C105" s="7">
        <v>774.92138876313595</v>
      </c>
    </row>
    <row r="106" spans="2:3" x14ac:dyDescent="0.25">
      <c r="B106" t="str">
        <f>IF('Data Kumpulan'!B109=1,"Perkotaan","Pedesaan")</f>
        <v>Perkotaan</v>
      </c>
      <c r="C106" s="7">
        <v>542.89753686404595</v>
      </c>
    </row>
    <row r="107" spans="2:3" x14ac:dyDescent="0.25">
      <c r="B107" t="str">
        <f>IF('Data Kumpulan'!B110=1,"Perkotaan","Pedesaan")</f>
        <v>Pedesaan</v>
      </c>
      <c r="C107" s="7">
        <v>392.46558596616302</v>
      </c>
    </row>
    <row r="108" spans="2:3" x14ac:dyDescent="0.25">
      <c r="B108" t="str">
        <f>IF('Data Kumpulan'!B111=1,"Perkotaan","Pedesaan")</f>
        <v>Perkotaan</v>
      </c>
      <c r="C108" s="7">
        <v>519.27722341361402</v>
      </c>
    </row>
    <row r="109" spans="2:3" x14ac:dyDescent="0.25">
      <c r="B109" t="str">
        <f>IF('Data Kumpulan'!B112=1,"Perkotaan","Pedesaan")</f>
        <v>Perkotaan</v>
      </c>
      <c r="C109" s="7">
        <v>1050.67887618741</v>
      </c>
    </row>
    <row r="110" spans="2:3" x14ac:dyDescent="0.25">
      <c r="B110" t="str">
        <f>IF('Data Kumpulan'!B113=1,"Perkotaan","Pedesaan")</f>
        <v>Perkotaan</v>
      </c>
      <c r="C110" s="7">
        <v>1104.0132477632101</v>
      </c>
    </row>
    <row r="111" spans="2:3" x14ac:dyDescent="0.25">
      <c r="B111" t="str">
        <f>IF('Data Kumpulan'!B114=1,"Perkotaan","Pedesaan")</f>
        <v>Pedesaan</v>
      </c>
      <c r="C111" s="7">
        <v>566.01704153456603</v>
      </c>
    </row>
    <row r="112" spans="2:3" x14ac:dyDescent="0.25">
      <c r="B112" t="str">
        <f>IF('Data Kumpulan'!B115=1,"Perkotaan","Pedesaan")</f>
        <v>Perkotaan</v>
      </c>
      <c r="C112" s="7">
        <v>105.683098729855</v>
      </c>
    </row>
    <row r="113" spans="2:3" x14ac:dyDescent="0.25">
      <c r="B113" t="str">
        <f>IF('Data Kumpulan'!B116=1,"Perkotaan","Pedesaan")</f>
        <v>Pedesaan</v>
      </c>
      <c r="C113" s="7">
        <v>427.20634782217701</v>
      </c>
    </row>
    <row r="114" spans="2:3" x14ac:dyDescent="0.25">
      <c r="B114" t="str">
        <f>IF('Data Kumpulan'!B117=1,"Perkotaan","Pedesaan")</f>
        <v>Pedesaan</v>
      </c>
      <c r="C114" s="7">
        <v>169.46051140489899</v>
      </c>
    </row>
    <row r="115" spans="2:3" x14ac:dyDescent="0.25">
      <c r="B115" t="str">
        <f>IF('Data Kumpulan'!B118=1,"Perkotaan","Pedesaan")</f>
        <v>Pedesaan</v>
      </c>
      <c r="C115" s="7">
        <v>519.15895208238396</v>
      </c>
    </row>
    <row r="116" spans="2:3" x14ac:dyDescent="0.25">
      <c r="B116" t="str">
        <f>IF('Data Kumpulan'!B119=1,"Perkotaan","Pedesaan")</f>
        <v>Perkotaan</v>
      </c>
      <c r="C116" s="7">
        <v>154.16118517380801</v>
      </c>
    </row>
    <row r="117" spans="2:3" x14ac:dyDescent="0.25">
      <c r="B117" t="str">
        <f>IF('Data Kumpulan'!B120=1,"Perkotaan","Pedesaan")</f>
        <v>Perkotaan</v>
      </c>
      <c r="C117" s="7">
        <v>544.83322930682004</v>
      </c>
    </row>
    <row r="118" spans="2:3" x14ac:dyDescent="0.25">
      <c r="B118" t="str">
        <f>IF('Data Kumpulan'!B121=1,"Perkotaan","Pedesaan")</f>
        <v>Pedesaan</v>
      </c>
      <c r="C118" s="7">
        <v>1022.38665653089</v>
      </c>
    </row>
    <row r="119" spans="2:3" x14ac:dyDescent="0.25">
      <c r="B119" t="str">
        <f>IF('Data Kumpulan'!B122=1,"Perkotaan","Pedesaan")</f>
        <v>Perkotaan</v>
      </c>
      <c r="C119" s="7">
        <v>1264.0979116118499</v>
      </c>
    </row>
    <row r="120" spans="2:3" x14ac:dyDescent="0.25">
      <c r="B120" t="str">
        <f>IF('Data Kumpulan'!B123=1,"Perkotaan","Pedesaan")</f>
        <v>Perkotaan</v>
      </c>
      <c r="C120" s="7">
        <v>381.40910419263002</v>
      </c>
    </row>
    <row r="121" spans="2:3" x14ac:dyDescent="0.25">
      <c r="B121" t="str">
        <f>IF('Data Kumpulan'!B124=1,"Perkotaan","Pedesaan")</f>
        <v>Pedesaan</v>
      </c>
      <c r="C121" s="7">
        <v>1400.47003804479</v>
      </c>
    </row>
    <row r="122" spans="2:3" x14ac:dyDescent="0.25">
      <c r="B122" t="str">
        <f>IF('Data Kumpulan'!B125=1,"Perkotaan","Pedesaan")</f>
        <v>Pedesaan</v>
      </c>
      <c r="C122" s="7">
        <v>116.897656098468</v>
      </c>
    </row>
    <row r="123" spans="2:3" x14ac:dyDescent="0.25">
      <c r="B123" t="str">
        <f>IF('Data Kumpulan'!B126=1,"Perkotaan","Pedesaan")</f>
        <v>Perkotaan</v>
      </c>
      <c r="C123" s="7">
        <v>616.14728385811804</v>
      </c>
    </row>
    <row r="124" spans="2:3" x14ac:dyDescent="0.25">
      <c r="B124" t="str">
        <f>IF('Data Kumpulan'!B127=1,"Perkotaan","Pedesaan")</f>
        <v>Pedesaan</v>
      </c>
      <c r="C124" s="7">
        <v>399.49506278144003</v>
      </c>
    </row>
    <row r="125" spans="2:3" x14ac:dyDescent="0.25">
      <c r="B125" t="str">
        <f>IF('Data Kumpulan'!B128=1,"Perkotaan","Pedesaan")</f>
        <v>Pedesaan</v>
      </c>
      <c r="C125" s="7">
        <v>26.269039938607399</v>
      </c>
    </row>
    <row r="126" spans="2:3" x14ac:dyDescent="0.25">
      <c r="B126" t="str">
        <f>IF('Data Kumpulan'!B129=1,"Perkotaan","Pedesaan")</f>
        <v>Perkotaan</v>
      </c>
      <c r="C126" s="7">
        <v>505.46007591107002</v>
      </c>
    </row>
    <row r="127" spans="2:3" x14ac:dyDescent="0.25">
      <c r="B127" t="str">
        <f>IF('Data Kumpulan'!B130=1,"Perkotaan","Pedesaan")</f>
        <v>Perkotaan</v>
      </c>
      <c r="C127" s="7">
        <v>948.33091008396798</v>
      </c>
    </row>
    <row r="128" spans="2:3" x14ac:dyDescent="0.25">
      <c r="B128" t="str">
        <f>IF('Data Kumpulan'!B131=1,"Perkotaan","Pedesaan")</f>
        <v>Perkotaan</v>
      </c>
      <c r="C128" s="7">
        <v>701.94728943298503</v>
      </c>
    </row>
    <row r="129" spans="2:3" x14ac:dyDescent="0.25">
      <c r="B129" t="str">
        <f>IF('Data Kumpulan'!B132=1,"Perkotaan","Pedesaan")</f>
        <v>Perkotaan</v>
      </c>
      <c r="C129" s="7">
        <v>1019.31218114622</v>
      </c>
    </row>
    <row r="130" spans="2:3" x14ac:dyDescent="0.25">
      <c r="B130" t="str">
        <f>IF('Data Kumpulan'!B133=1,"Perkotaan","Pedesaan")</f>
        <v>Pedesaan</v>
      </c>
      <c r="C130" s="7">
        <v>131.79927686104099</v>
      </c>
    </row>
    <row r="131" spans="2:3" x14ac:dyDescent="0.25">
      <c r="B131" t="str">
        <f>IF('Data Kumpulan'!B134=1,"Perkotaan","Pedesaan")</f>
        <v>Pedesaan</v>
      </c>
      <c r="C131" s="7">
        <v>130.96406371762299</v>
      </c>
    </row>
    <row r="132" spans="2:3" x14ac:dyDescent="0.25">
      <c r="B132" t="str">
        <f>IF('Data Kumpulan'!B135=1,"Perkotaan","Pedesaan")</f>
        <v>Perkotaan</v>
      </c>
      <c r="C132" s="7">
        <v>317.31664345130702</v>
      </c>
    </row>
    <row r="133" spans="2:3" x14ac:dyDescent="0.25">
      <c r="B133" t="str">
        <f>IF('Data Kumpulan'!B136=1,"Perkotaan","Pedesaan")</f>
        <v>Pedesaan</v>
      </c>
      <c r="C133" s="7">
        <v>697.71843462993695</v>
      </c>
    </row>
    <row r="134" spans="2:3" x14ac:dyDescent="0.25">
      <c r="B134" t="str">
        <f>IF('Data Kumpulan'!B137=1,"Perkotaan","Pedesaan")</f>
        <v>Pedesaan</v>
      </c>
      <c r="C134" s="7">
        <v>585.04412964611595</v>
      </c>
    </row>
    <row r="135" spans="2:3" x14ac:dyDescent="0.25">
      <c r="B135" t="str">
        <f>IF('Data Kumpulan'!B138=1,"Perkotaan","Pedesaan")</f>
        <v>Pedesaan</v>
      </c>
      <c r="C135" s="7">
        <v>380.14713889441703</v>
      </c>
    </row>
    <row r="136" spans="2:3" x14ac:dyDescent="0.25">
      <c r="B136" t="str">
        <f>IF('Data Kumpulan'!B139=1,"Perkotaan","Pedesaan")</f>
        <v>Pedesaan</v>
      </c>
      <c r="C136" s="7">
        <v>514.48579351041803</v>
      </c>
    </row>
    <row r="137" spans="2:3" x14ac:dyDescent="0.25">
      <c r="B137" t="str">
        <f>IF('Data Kumpulan'!B140=1,"Perkotaan","Pedesaan")</f>
        <v>Pedesaan</v>
      </c>
      <c r="C137" s="7">
        <v>152.606486931489</v>
      </c>
    </row>
    <row r="138" spans="2:3" x14ac:dyDescent="0.25">
      <c r="B138" t="str">
        <f>IF('Data Kumpulan'!B141=1,"Perkotaan","Pedesaan")</f>
        <v>Pedesaan</v>
      </c>
      <c r="C138" s="7">
        <v>97.304405648039705</v>
      </c>
    </row>
    <row r="139" spans="2:3" x14ac:dyDescent="0.25">
      <c r="B139" t="str">
        <f>IF('Data Kumpulan'!B142=1,"Perkotaan","Pedesaan")</f>
        <v>Perkotaan</v>
      </c>
      <c r="C139" s="7">
        <v>840.10723667181696</v>
      </c>
    </row>
    <row r="140" spans="2:3" x14ac:dyDescent="0.25">
      <c r="B140" t="str">
        <f>IF('Data Kumpulan'!B143=1,"Perkotaan","Pedesaan")</f>
        <v>Pedesaan</v>
      </c>
      <c r="C140" s="7">
        <v>981.68231608368001</v>
      </c>
    </row>
    <row r="141" spans="2:3" x14ac:dyDescent="0.25">
      <c r="B141" t="str">
        <f>IF('Data Kumpulan'!B144=1,"Perkotaan","Pedesaan")</f>
        <v>Perkotaan</v>
      </c>
      <c r="C141" s="7">
        <v>370.89380359328402</v>
      </c>
    </row>
    <row r="142" spans="2:3" x14ac:dyDescent="0.25">
      <c r="B142" t="str">
        <f>IF('Data Kumpulan'!B145=1,"Perkotaan","Pedesaan")</f>
        <v>Perkotaan</v>
      </c>
      <c r="C142" s="7">
        <v>514.36946943783096</v>
      </c>
    </row>
    <row r="143" spans="2:3" x14ac:dyDescent="0.25">
      <c r="B143" t="str">
        <f>IF('Data Kumpulan'!B146=1,"Perkotaan","Pedesaan")</f>
        <v>Perkotaan</v>
      </c>
      <c r="C143" s="7">
        <v>1143.7232116206301</v>
      </c>
    </row>
    <row r="144" spans="2:3" x14ac:dyDescent="0.25">
      <c r="B144" t="str">
        <f>IF('Data Kumpulan'!B147=1,"Perkotaan","Pedesaan")</f>
        <v>Pedesaan</v>
      </c>
      <c r="C144" s="7">
        <v>1739.1094909917699</v>
      </c>
    </row>
    <row r="145" spans="2:3" x14ac:dyDescent="0.25">
      <c r="B145" t="str">
        <f>IF('Data Kumpulan'!B148=1,"Perkotaan","Pedesaan")</f>
        <v>Perkotaan</v>
      </c>
      <c r="C145" s="7">
        <v>740.40369501911505</v>
      </c>
    </row>
    <row r="146" spans="2:3" x14ac:dyDescent="0.25">
      <c r="B146" t="str">
        <f>IF('Data Kumpulan'!B149=1,"Perkotaan","Pedesaan")</f>
        <v>Pedesaan</v>
      </c>
      <c r="C146" s="7">
        <v>19.669796544939501</v>
      </c>
    </row>
    <row r="147" spans="2:3" x14ac:dyDescent="0.25">
      <c r="B147" t="str">
        <f>IF('Data Kumpulan'!B150=1,"Perkotaan","Pedesaan")</f>
        <v>Pedesaan</v>
      </c>
      <c r="C147" s="7">
        <v>320.351821685277</v>
      </c>
    </row>
    <row r="148" spans="2:3" x14ac:dyDescent="0.25">
      <c r="B148" t="str">
        <f>IF('Data Kumpulan'!B151=1,"Perkotaan","Pedesaan")</f>
        <v>Pedesaan</v>
      </c>
      <c r="C148" s="7">
        <v>966.17658738307603</v>
      </c>
    </row>
    <row r="149" spans="2:3" x14ac:dyDescent="0.25">
      <c r="B149" t="str">
        <f>IF('Data Kumpulan'!B152=1,"Perkotaan","Pedesaan")</f>
        <v>Perkotaan</v>
      </c>
      <c r="C149" s="7">
        <v>303.48175354670502</v>
      </c>
    </row>
    <row r="150" spans="2:3" x14ac:dyDescent="0.25">
      <c r="B150" t="str">
        <f>IF('Data Kumpulan'!B153=1,"Perkotaan","Pedesaan")</f>
        <v>Pedesaan</v>
      </c>
      <c r="C150" s="7">
        <v>424.36899539825401</v>
      </c>
    </row>
    <row r="151" spans="2:3" x14ac:dyDescent="0.25">
      <c r="B151" t="str">
        <f>IF('Data Kumpulan'!B154=1,"Perkotaan","Pedesaan")</f>
        <v>Pedesaan</v>
      </c>
      <c r="C151" s="7">
        <v>687.33513603030497</v>
      </c>
    </row>
    <row r="152" spans="2:3" x14ac:dyDescent="0.25">
      <c r="B152" t="str">
        <f>IF('Data Kumpulan'!B155=1,"Perkotaan","Pedesaan")</f>
        <v>Perkotaan</v>
      </c>
      <c r="C152" s="7">
        <v>791.96164942293001</v>
      </c>
    </row>
    <row r="153" spans="2:3" x14ac:dyDescent="0.25">
      <c r="B153" t="str">
        <f>IF('Data Kumpulan'!B156=1,"Perkotaan","Pedesaan")</f>
        <v>Perkotaan</v>
      </c>
      <c r="C153" s="7">
        <v>1069.4126352936801</v>
      </c>
    </row>
    <row r="154" spans="2:3" x14ac:dyDescent="0.25">
      <c r="B154" t="str">
        <f>IF('Data Kumpulan'!B157=1,"Perkotaan","Pedesaan")</f>
        <v>Perkotaan</v>
      </c>
      <c r="C154" s="7">
        <v>1722.34824263004</v>
      </c>
    </row>
    <row r="155" spans="2:3" x14ac:dyDescent="0.25">
      <c r="B155" t="str">
        <f>IF('Data Kumpulan'!B158=1,"Perkotaan","Pedesaan")</f>
        <v>Perkotaan</v>
      </c>
      <c r="C155" s="7">
        <v>581.76197103057802</v>
      </c>
    </row>
    <row r="156" spans="2:3" x14ac:dyDescent="0.25">
      <c r="B156" t="str">
        <f>IF('Data Kumpulan'!B159=1,"Perkotaan","Pedesaan")</f>
        <v>Perkotaan</v>
      </c>
      <c r="C156" s="7">
        <v>322.62083304921401</v>
      </c>
    </row>
    <row r="157" spans="2:3" x14ac:dyDescent="0.25">
      <c r="B157" t="str">
        <f>IF('Data Kumpulan'!B160=1,"Perkotaan","Pedesaan")</f>
        <v>Pedesaan</v>
      </c>
      <c r="C157" s="7">
        <v>36.9473505913544</v>
      </c>
    </row>
    <row r="158" spans="2:3" x14ac:dyDescent="0.25">
      <c r="B158" t="str">
        <f>IF('Data Kumpulan'!B161=1,"Perkotaan","Pedesaan")</f>
        <v>Pedesaan</v>
      </c>
      <c r="C158" s="7">
        <v>648.16117037215895</v>
      </c>
    </row>
    <row r="159" spans="2:3" x14ac:dyDescent="0.25">
      <c r="B159" t="str">
        <f>IF('Data Kumpulan'!B162=1,"Perkotaan","Pedesaan")</f>
        <v>Perkotaan</v>
      </c>
      <c r="C159" s="7">
        <v>883.58936907170403</v>
      </c>
    </row>
    <row r="160" spans="2:3" x14ac:dyDescent="0.25">
      <c r="B160" t="str">
        <f>IF('Data Kumpulan'!B163=1,"Perkotaan","Pedesaan")</f>
        <v>Perkotaan</v>
      </c>
      <c r="C160" s="7">
        <v>399.07495373954902</v>
      </c>
    </row>
    <row r="161" spans="2:3" x14ac:dyDescent="0.25">
      <c r="B161" t="str">
        <f>IF('Data Kumpulan'!B164=1,"Perkotaan","Pedesaan")</f>
        <v>Perkotaan</v>
      </c>
      <c r="C161" s="7">
        <v>330.18626593868402</v>
      </c>
    </row>
    <row r="162" spans="2:3" x14ac:dyDescent="0.25">
      <c r="B162" t="str">
        <f>IF('Data Kumpulan'!B165=1,"Perkotaan","Pedesaan")</f>
        <v>Perkotaan</v>
      </c>
      <c r="C162" s="7">
        <v>1254.8731191395</v>
      </c>
    </row>
    <row r="163" spans="2:3" x14ac:dyDescent="0.25">
      <c r="B163" t="str">
        <f>IF('Data Kumpulan'!B166=1,"Perkotaan","Pedesaan")</f>
        <v>Perkotaan</v>
      </c>
      <c r="C163" s="7">
        <v>644.15962829455395</v>
      </c>
    </row>
    <row r="164" spans="2:3" x14ac:dyDescent="0.25">
      <c r="B164" t="str">
        <f>IF('Data Kumpulan'!B167=1,"Perkotaan","Pedesaan")</f>
        <v>Pedesaan</v>
      </c>
      <c r="C164" s="7">
        <v>486.59644922196702</v>
      </c>
    </row>
    <row r="165" spans="2:3" x14ac:dyDescent="0.25">
      <c r="B165" t="str">
        <f>IF('Data Kumpulan'!B168=1,"Perkotaan","Pedesaan")</f>
        <v>Perkotaan</v>
      </c>
      <c r="C165" s="7">
        <v>572.53685922140596</v>
      </c>
    </row>
    <row r="166" spans="2:3" x14ac:dyDescent="0.25">
      <c r="B166" t="str">
        <f>IF('Data Kumpulan'!B169=1,"Perkotaan","Pedesaan")</f>
        <v>Pedesaan</v>
      </c>
      <c r="C166" s="7">
        <v>429.08801934947297</v>
      </c>
    </row>
    <row r="167" spans="2:3" x14ac:dyDescent="0.25">
      <c r="B167" t="str">
        <f>IF('Data Kumpulan'!B170=1,"Perkotaan","Pedesaan")</f>
        <v>Pedesaan</v>
      </c>
      <c r="C167" s="7">
        <v>217.62064692651501</v>
      </c>
    </row>
    <row r="168" spans="2:3" x14ac:dyDescent="0.25">
      <c r="B168" t="str">
        <f>IF('Data Kumpulan'!B171=1,"Perkotaan","Pedesaan")</f>
        <v>Pedesaan</v>
      </c>
      <c r="C168" s="7">
        <v>132.95510363128301</v>
      </c>
    </row>
    <row r="169" spans="2:3" x14ac:dyDescent="0.25">
      <c r="B169" t="str">
        <f>IF('Data Kumpulan'!B172=1,"Perkotaan","Pedesaan")</f>
        <v>Perkotaan</v>
      </c>
      <c r="C169" s="7">
        <v>660.32489795874096</v>
      </c>
    </row>
    <row r="170" spans="2:3" x14ac:dyDescent="0.25">
      <c r="B170" t="str">
        <f>IF('Data Kumpulan'!B173=1,"Perkotaan","Pedesaan")</f>
        <v>Pedesaan</v>
      </c>
      <c r="C170" s="7">
        <v>1007.59492056018</v>
      </c>
    </row>
    <row r="171" spans="2:3" x14ac:dyDescent="0.25">
      <c r="B171" t="str">
        <f>IF('Data Kumpulan'!B174=1,"Perkotaan","Pedesaan")</f>
        <v>Pedesaan</v>
      </c>
      <c r="C171" s="7">
        <v>569.92048504168395</v>
      </c>
    </row>
    <row r="172" spans="2:3" x14ac:dyDescent="0.25">
      <c r="B172" t="str">
        <f>IF('Data Kumpulan'!B175=1,"Perkotaan","Pedesaan")</f>
        <v>Pedesaan</v>
      </c>
      <c r="C172" s="7">
        <v>504.31580244186802</v>
      </c>
    </row>
    <row r="173" spans="2:3" x14ac:dyDescent="0.25">
      <c r="B173" t="str">
        <f>IF('Data Kumpulan'!B176=1,"Perkotaan","Pedesaan")</f>
        <v>Pedesaan</v>
      </c>
      <c r="C173" s="7">
        <v>848.42023264132195</v>
      </c>
    </row>
    <row r="174" spans="2:3" x14ac:dyDescent="0.25">
      <c r="B174" t="str">
        <f>IF('Data Kumpulan'!B177=1,"Perkotaan","Pedesaan")</f>
        <v>Perkotaan</v>
      </c>
      <c r="C174" s="7">
        <v>639.13847456069402</v>
      </c>
    </row>
    <row r="175" spans="2:3" x14ac:dyDescent="0.25">
      <c r="B175" t="str">
        <f>IF('Data Kumpulan'!B178=1,"Perkotaan","Pedesaan")</f>
        <v>Pedesaan</v>
      </c>
      <c r="C175" s="7">
        <v>97.309656312558403</v>
      </c>
    </row>
    <row r="176" spans="2:3" x14ac:dyDescent="0.25">
      <c r="B176" t="str">
        <f>IF('Data Kumpulan'!B179=1,"Perkotaan","Pedesaan")</f>
        <v>Pedesaan</v>
      </c>
      <c r="C176" s="7">
        <v>504.66902599143401</v>
      </c>
    </row>
    <row r="177" spans="2:3" x14ac:dyDescent="0.25">
      <c r="B177" t="str">
        <f>IF('Data Kumpulan'!B180=1,"Perkotaan","Pedesaan")</f>
        <v>Perkotaan</v>
      </c>
      <c r="C177" s="7">
        <v>495.26951848478097</v>
      </c>
    </row>
    <row r="178" spans="2:3" x14ac:dyDescent="0.25">
      <c r="B178" t="str">
        <f>IF('Data Kumpulan'!B181=1,"Perkotaan","Pedesaan")</f>
        <v>Perkotaan</v>
      </c>
      <c r="C178" s="7">
        <v>697.08964610923101</v>
      </c>
    </row>
    <row r="179" spans="2:3" x14ac:dyDescent="0.25">
      <c r="B179" t="str">
        <f>IF('Data Kumpulan'!B182=1,"Perkotaan","Pedesaan")</f>
        <v>Perkotaan</v>
      </c>
      <c r="C179" s="7">
        <v>826.86151335345096</v>
      </c>
    </row>
    <row r="180" spans="2:3" x14ac:dyDescent="0.25">
      <c r="B180" t="str">
        <f>IF('Data Kumpulan'!B183=1,"Perkotaan","Pedesaan")</f>
        <v>Pedesaan</v>
      </c>
      <c r="C180" s="7">
        <v>882.91448937087296</v>
      </c>
    </row>
    <row r="181" spans="2:3" x14ac:dyDescent="0.25">
      <c r="B181" t="str">
        <f>IF('Data Kumpulan'!B184=1,"Perkotaan","Pedesaan")</f>
        <v>Perkotaan</v>
      </c>
      <c r="C181" s="7">
        <v>736.95718290805496</v>
      </c>
    </row>
    <row r="182" spans="2:3" x14ac:dyDescent="0.25">
      <c r="B182" t="str">
        <f>IF('Data Kumpulan'!B185=1,"Perkotaan","Pedesaan")</f>
        <v>Perkotaan</v>
      </c>
      <c r="C182" s="7">
        <v>398.99441174229901</v>
      </c>
    </row>
    <row r="183" spans="2:3" x14ac:dyDescent="0.25">
      <c r="B183" t="str">
        <f>IF('Data Kumpulan'!B186=1,"Perkotaan","Pedesaan")</f>
        <v>Perkotaan</v>
      </c>
      <c r="C183" s="7">
        <v>919.63137982526405</v>
      </c>
    </row>
    <row r="184" spans="2:3" x14ac:dyDescent="0.25">
      <c r="B184" t="str">
        <f>IF('Data Kumpulan'!B187=1,"Perkotaan","Pedesaan")</f>
        <v>Pedesaan</v>
      </c>
      <c r="C184" s="7">
        <v>581.40143283541204</v>
      </c>
    </row>
    <row r="185" spans="2:3" x14ac:dyDescent="0.25">
      <c r="B185" t="str">
        <f>IF('Data Kumpulan'!B188=1,"Perkotaan","Pedesaan")</f>
        <v>Perkotaan</v>
      </c>
      <c r="C185" s="7">
        <v>719.45587909624805</v>
      </c>
    </row>
    <row r="186" spans="2:3" x14ac:dyDescent="0.25">
      <c r="B186" t="str">
        <f>IF('Data Kumpulan'!B189=1,"Perkotaan","Pedesaan")</f>
        <v>Pedesaan</v>
      </c>
      <c r="C186" s="7">
        <v>811.98290277599995</v>
      </c>
    </row>
    <row r="187" spans="2:3" x14ac:dyDescent="0.25">
      <c r="B187" t="str">
        <f>IF('Data Kumpulan'!B190=1,"Perkotaan","Pedesaan")</f>
        <v>Perkotaan</v>
      </c>
      <c r="C187" s="7">
        <v>474.39862316494401</v>
      </c>
    </row>
    <row r="188" spans="2:3" x14ac:dyDescent="0.25">
      <c r="B188" t="str">
        <f>IF('Data Kumpulan'!B191=1,"Perkotaan","Pedesaan")</f>
        <v>Perkotaan</v>
      </c>
      <c r="C188" s="7">
        <v>161.80039513043499</v>
      </c>
    </row>
    <row r="189" spans="2:3" x14ac:dyDescent="0.25">
      <c r="B189" t="str">
        <f>IF('Data Kumpulan'!B192=1,"Perkotaan","Pedesaan")</f>
        <v>Pedesaan</v>
      </c>
      <c r="C189" s="7">
        <v>27.0872618069242</v>
      </c>
    </row>
    <row r="190" spans="2:3" x14ac:dyDescent="0.25">
      <c r="B190" t="str">
        <f>IF('Data Kumpulan'!B193=1,"Perkotaan","Pedesaan")</f>
        <v>Perkotaan</v>
      </c>
      <c r="C190" s="7">
        <v>1144.5870338629099</v>
      </c>
    </row>
    <row r="191" spans="2:3" x14ac:dyDescent="0.25">
      <c r="B191" t="str">
        <f>IF('Data Kumpulan'!B194=1,"Perkotaan","Pedesaan")</f>
        <v>Pedesaan</v>
      </c>
      <c r="C191" s="7">
        <v>191.09541741229501</v>
      </c>
    </row>
    <row r="192" spans="2:3" x14ac:dyDescent="0.25">
      <c r="B192" t="str">
        <f>IF('Data Kumpulan'!B195=1,"Perkotaan","Pedesaan")</f>
        <v>Pedesaan</v>
      </c>
      <c r="C192" s="7">
        <v>323.34748813150702</v>
      </c>
    </row>
    <row r="193" spans="2:3" x14ac:dyDescent="0.25">
      <c r="B193" t="str">
        <f>IF('Data Kumpulan'!B196=1,"Perkotaan","Pedesaan")</f>
        <v>Perkotaan</v>
      </c>
      <c r="C193" s="7">
        <v>587.88340213047104</v>
      </c>
    </row>
    <row r="194" spans="2:3" x14ac:dyDescent="0.25">
      <c r="B194" t="str">
        <f>IF('Data Kumpulan'!B197=1,"Perkotaan","Pedesaan")</f>
        <v>Pedesaan</v>
      </c>
      <c r="C194" s="7">
        <v>1066.3101378295401</v>
      </c>
    </row>
    <row r="195" spans="2:3" x14ac:dyDescent="0.25">
      <c r="B195" t="str">
        <f>IF('Data Kumpulan'!B198=1,"Perkotaan","Pedesaan")</f>
        <v>Pedesaan</v>
      </c>
      <c r="C195" s="7">
        <v>397.35322245373601</v>
      </c>
    </row>
    <row r="196" spans="2:3" x14ac:dyDescent="0.25">
      <c r="B196" t="str">
        <f>IF('Data Kumpulan'!B199=1,"Perkotaan","Pedesaan")</f>
        <v>Pedesaan</v>
      </c>
      <c r="C196" s="7">
        <v>514.02763353644195</v>
      </c>
    </row>
    <row r="197" spans="2:3" x14ac:dyDescent="0.25">
      <c r="B197" t="str">
        <f>IF('Data Kumpulan'!B200=1,"Perkotaan","Pedesaan")</f>
        <v>Perkotaan</v>
      </c>
      <c r="C197" s="7">
        <v>799.33410980366102</v>
      </c>
    </row>
    <row r="198" spans="2:3" x14ac:dyDescent="0.25">
      <c r="B198" t="str">
        <f>IF('Data Kumpulan'!B201=1,"Perkotaan","Pedesaan")</f>
        <v>Perkotaan</v>
      </c>
      <c r="C198" s="7">
        <v>773.86301556164005</v>
      </c>
    </row>
    <row r="199" spans="2:3" x14ac:dyDescent="0.25">
      <c r="B199" t="str">
        <f>IF('Data Kumpulan'!B202=1,"Perkotaan","Pedesaan")</f>
        <v>Pedesaan</v>
      </c>
      <c r="C199" s="7">
        <v>219.130730799182</v>
      </c>
    </row>
    <row r="200" spans="2:3" x14ac:dyDescent="0.25">
      <c r="B200" t="str">
        <f>IF('Data Kumpulan'!B203=1,"Perkotaan","Pedesaan")</f>
        <v>Pedesaan</v>
      </c>
      <c r="C200" s="7">
        <v>89.627820005591801</v>
      </c>
    </row>
    <row r="201" spans="2:3" x14ac:dyDescent="0.25">
      <c r="B201" t="str">
        <f>IF('Data Kumpulan'!B204=1,"Perkotaan","Pedesaan")</f>
        <v>Perkotaan</v>
      </c>
      <c r="C201" s="7">
        <v>1124.5833357551601</v>
      </c>
    </row>
    <row r="202" spans="2:3" x14ac:dyDescent="0.25">
      <c r="B202" t="str">
        <f>IF('Data Kumpulan'!B205=1,"Perkotaan","Pedesaan")</f>
        <v>Pedesaan</v>
      </c>
      <c r="C202" s="7">
        <v>134.819581764746</v>
      </c>
    </row>
    <row r="203" spans="2:3" x14ac:dyDescent="0.25">
      <c r="B203" t="str">
        <f>IF('Data Kumpulan'!B206=1,"Perkotaan","Pedesaan")</f>
        <v>Perkotaan</v>
      </c>
      <c r="C203" s="7">
        <v>136.572092660089</v>
      </c>
    </row>
    <row r="204" spans="2:3" x14ac:dyDescent="0.25">
      <c r="B204" t="str">
        <f>IF('Data Kumpulan'!B207=1,"Perkotaan","Pedesaan")</f>
        <v>Perkotaan</v>
      </c>
      <c r="C204" s="7">
        <v>550.33783904936797</v>
      </c>
    </row>
    <row r="205" spans="2:3" x14ac:dyDescent="0.25">
      <c r="B205" t="str">
        <f>IF('Data Kumpulan'!B208=1,"Perkotaan","Pedesaan")</f>
        <v>Pedesaan</v>
      </c>
      <c r="C205" s="7">
        <v>505.04232070682502</v>
      </c>
    </row>
    <row r="206" spans="2:3" x14ac:dyDescent="0.25">
      <c r="B206" t="str">
        <f>IF('Data Kumpulan'!B209=1,"Perkotaan","Pedesaan")</f>
        <v>Perkotaan</v>
      </c>
      <c r="C206" s="7">
        <v>967.10517441863794</v>
      </c>
    </row>
    <row r="207" spans="2:3" x14ac:dyDescent="0.25">
      <c r="B207" t="str">
        <f>IF('Data Kumpulan'!B210=1,"Perkotaan","Pedesaan")</f>
        <v>Perkotaan</v>
      </c>
      <c r="C207" s="7">
        <v>596.80681681237195</v>
      </c>
    </row>
    <row r="208" spans="2:3" x14ac:dyDescent="0.25">
      <c r="B208" t="str">
        <f>IF('Data Kumpulan'!B211=1,"Perkotaan","Pedesaan")</f>
        <v>Pedesaan</v>
      </c>
      <c r="C208" s="7">
        <v>1033.1195023736</v>
      </c>
    </row>
    <row r="209" spans="2:3" x14ac:dyDescent="0.25">
      <c r="B209" t="str">
        <f>IF('Data Kumpulan'!B212=1,"Perkotaan","Pedesaan")</f>
        <v>Pedesaan</v>
      </c>
      <c r="C209" s="7">
        <v>841.93939982414997</v>
      </c>
    </row>
    <row r="210" spans="2:3" x14ac:dyDescent="0.25">
      <c r="B210" t="str">
        <f>IF('Data Kumpulan'!B213=1,"Perkotaan","Pedesaan")</f>
        <v>Pedesaan</v>
      </c>
      <c r="C210" s="7">
        <v>171.534266703985</v>
      </c>
    </row>
    <row r="211" spans="2:3" x14ac:dyDescent="0.25">
      <c r="B211" t="str">
        <f>IF('Data Kumpulan'!B214=1,"Perkotaan","Pedesaan")</f>
        <v>Pedesaan</v>
      </c>
      <c r="C211" s="7">
        <v>204.790791694576</v>
      </c>
    </row>
    <row r="212" spans="2:3" x14ac:dyDescent="0.25">
      <c r="B212" t="str">
        <f>IF('Data Kumpulan'!B215=1,"Perkotaan","Pedesaan")</f>
        <v>Pedesaan</v>
      </c>
      <c r="C212" s="7">
        <v>400.01528064376402</v>
      </c>
    </row>
    <row r="213" spans="2:3" x14ac:dyDescent="0.25">
      <c r="B213" t="str">
        <f>IF('Data Kumpulan'!B216=1,"Perkotaan","Pedesaan")</f>
        <v>Perkotaan</v>
      </c>
      <c r="C213" s="7">
        <v>668.40600567850004</v>
      </c>
    </row>
    <row r="214" spans="2:3" x14ac:dyDescent="0.25">
      <c r="B214" t="str">
        <f>IF('Data Kumpulan'!B217=1,"Perkotaan","Pedesaan")</f>
        <v>Pedesaan</v>
      </c>
      <c r="C214" s="7">
        <v>242.76972012627201</v>
      </c>
    </row>
    <row r="215" spans="2:3" x14ac:dyDescent="0.25">
      <c r="B215" t="str">
        <f>IF('Data Kumpulan'!B218=1,"Perkotaan","Pedesaan")</f>
        <v>Pedesaan</v>
      </c>
      <c r="C215" s="7">
        <v>396.78907573032802</v>
      </c>
    </row>
    <row r="216" spans="2:3" x14ac:dyDescent="0.25">
      <c r="B216" t="str">
        <f>IF('Data Kumpulan'!B219=1,"Perkotaan","Pedesaan")</f>
        <v>Pedesaan</v>
      </c>
      <c r="C216" s="7">
        <v>172.770429367074</v>
      </c>
    </row>
    <row r="217" spans="2:3" x14ac:dyDescent="0.25">
      <c r="B217" t="str">
        <f>IF('Data Kumpulan'!B220=1,"Perkotaan","Pedesaan")</f>
        <v>Pedesaan</v>
      </c>
      <c r="C217" s="7">
        <v>1600.17252299712</v>
      </c>
    </row>
    <row r="218" spans="2:3" x14ac:dyDescent="0.25">
      <c r="B218" t="str">
        <f>IF('Data Kumpulan'!B221=1,"Perkotaan","Pedesaan")</f>
        <v>Perkotaan</v>
      </c>
      <c r="C218" s="7">
        <v>738.29596410051295</v>
      </c>
    </row>
    <row r="219" spans="2:3" x14ac:dyDescent="0.25">
      <c r="B219" t="str">
        <f>IF('Data Kumpulan'!B222=1,"Perkotaan","Pedesaan")</f>
        <v>Pedesaan</v>
      </c>
      <c r="C219" s="7">
        <v>94.080873393403394</v>
      </c>
    </row>
    <row r="220" spans="2:3" x14ac:dyDescent="0.25">
      <c r="B220" t="str">
        <f>IF('Data Kumpulan'!B223=1,"Perkotaan","Pedesaan")</f>
        <v>Perkotaan</v>
      </c>
      <c r="C220" s="7">
        <v>512.98302360726302</v>
      </c>
    </row>
    <row r="221" spans="2:3" x14ac:dyDescent="0.25">
      <c r="B221" t="str">
        <f>IF('Data Kumpulan'!B224=1,"Perkotaan","Pedesaan")</f>
        <v>Perkotaan</v>
      </c>
      <c r="C221" s="7">
        <v>666.36415931286797</v>
      </c>
    </row>
    <row r="222" spans="2:3" x14ac:dyDescent="0.25">
      <c r="B222" t="str">
        <f>IF('Data Kumpulan'!B225=1,"Perkotaan","Pedesaan")</f>
        <v>Pedesaan</v>
      </c>
      <c r="C222" s="7">
        <v>690.02287591835795</v>
      </c>
    </row>
    <row r="223" spans="2:3" x14ac:dyDescent="0.25">
      <c r="B223" t="str">
        <f>IF('Data Kumpulan'!B226=1,"Perkotaan","Pedesaan")</f>
        <v>Perkotaan</v>
      </c>
      <c r="C223" s="7">
        <v>220.01596009891699</v>
      </c>
    </row>
    <row r="224" spans="2:3" x14ac:dyDescent="0.25">
      <c r="B224" t="str">
        <f>IF('Data Kumpulan'!B227=1,"Perkotaan","Pedesaan")</f>
        <v>Pedesaan</v>
      </c>
      <c r="C224" s="7">
        <v>37.334045206865603</v>
      </c>
    </row>
    <row r="225" spans="2:3" x14ac:dyDescent="0.25">
      <c r="B225" t="str">
        <f>IF('Data Kumpulan'!B228=1,"Perkotaan","Pedesaan")</f>
        <v>Perkotaan</v>
      </c>
      <c r="C225" s="7">
        <v>635.076636307841</v>
      </c>
    </row>
    <row r="226" spans="2:3" x14ac:dyDescent="0.25">
      <c r="B226" t="str">
        <f>IF('Data Kumpulan'!B229=1,"Perkotaan","Pedesaan")</f>
        <v>Perkotaan</v>
      </c>
      <c r="C226" s="7">
        <v>687.19197022590004</v>
      </c>
    </row>
    <row r="227" spans="2:3" x14ac:dyDescent="0.25">
      <c r="B227" t="str">
        <f>IF('Data Kumpulan'!B230=1,"Perkotaan","Pedesaan")</f>
        <v>Pedesaan</v>
      </c>
      <c r="C227" s="7">
        <v>24.361407276398999</v>
      </c>
    </row>
    <row r="228" spans="2:3" x14ac:dyDescent="0.25">
      <c r="B228" t="str">
        <f>IF('Data Kumpulan'!B231=1,"Perkotaan","Pedesaan")</f>
        <v>Perkotaan</v>
      </c>
      <c r="C228" s="7">
        <v>298.90384474442902</v>
      </c>
    </row>
    <row r="229" spans="2:3" x14ac:dyDescent="0.25">
      <c r="B229" t="str">
        <f>IF('Data Kumpulan'!B232=1,"Perkotaan","Pedesaan")</f>
        <v>Perkotaan</v>
      </c>
      <c r="C229" s="7">
        <v>1263.04584813219</v>
      </c>
    </row>
    <row r="230" spans="2:3" x14ac:dyDescent="0.25">
      <c r="B230" t="str">
        <f>IF('Data Kumpulan'!B233=1,"Perkotaan","Pedesaan")</f>
        <v>Perkotaan</v>
      </c>
      <c r="C230" s="7">
        <v>1671.16771917814</v>
      </c>
    </row>
    <row r="231" spans="2:3" x14ac:dyDescent="0.25">
      <c r="B231" t="str">
        <f>IF('Data Kumpulan'!B234=1,"Perkotaan","Pedesaan")</f>
        <v>Pedesaan</v>
      </c>
      <c r="C231" s="7">
        <v>413.66794786414101</v>
      </c>
    </row>
    <row r="232" spans="2:3" x14ac:dyDescent="0.25">
      <c r="B232" t="str">
        <f>IF('Data Kumpulan'!B235=1,"Perkotaan","Pedesaan")</f>
        <v>Pedesaan</v>
      </c>
      <c r="C232" s="7">
        <v>485.78472806136602</v>
      </c>
    </row>
    <row r="233" spans="2:3" x14ac:dyDescent="0.25">
      <c r="B233" t="str">
        <f>IF('Data Kumpulan'!B237=1,"Perkotaan","Pedesaan")</f>
        <v>Pedesaan</v>
      </c>
      <c r="C233" s="7">
        <v>769.56406480545195</v>
      </c>
    </row>
    <row r="234" spans="2:3" x14ac:dyDescent="0.25">
      <c r="B234" t="str">
        <f>IF('Data Kumpulan'!B238=1,"Perkotaan","Pedesaan")</f>
        <v>Pedesaan</v>
      </c>
      <c r="C234" s="7">
        <v>59.226001214526903</v>
      </c>
    </row>
    <row r="235" spans="2:3" x14ac:dyDescent="0.25">
      <c r="B235" t="str">
        <f>IF('Data Kumpulan'!B239=1,"Perkotaan","Pedesaan")</f>
        <v>Perkotaan</v>
      </c>
      <c r="C235" s="7">
        <v>529.26855744473005</v>
      </c>
    </row>
    <row r="236" spans="2:3" x14ac:dyDescent="0.25">
      <c r="B236" t="str">
        <f>IF('Data Kumpulan'!B240=1,"Perkotaan","Pedesaan")</f>
        <v>Perkotaan</v>
      </c>
      <c r="C236" s="7">
        <v>1365.06347171689</v>
      </c>
    </row>
    <row r="237" spans="2:3" x14ac:dyDescent="0.25">
      <c r="B237" t="str">
        <f>IF('Data Kumpulan'!B241=1,"Perkotaan","Pedesaan")</f>
        <v>Pedesaan</v>
      </c>
      <c r="C237" s="7">
        <v>119.197128004365</v>
      </c>
    </row>
    <row r="238" spans="2:3" x14ac:dyDescent="0.25">
      <c r="B238" t="str">
        <f>IF('Data Kumpulan'!B242=1,"Perkotaan","Pedesaan")</f>
        <v>Perkotaan</v>
      </c>
      <c r="C238" s="7">
        <v>622.52734084975202</v>
      </c>
    </row>
    <row r="239" spans="2:3" x14ac:dyDescent="0.25">
      <c r="B239" t="str">
        <f>IF('Data Kumpulan'!B243=1,"Perkotaan","Pedesaan")</f>
        <v>Perkotaan</v>
      </c>
      <c r="C239" s="7">
        <v>582.09504116501205</v>
      </c>
    </row>
    <row r="240" spans="2:3" x14ac:dyDescent="0.25">
      <c r="B240" t="str">
        <f>IF('Data Kumpulan'!B244=1,"Perkotaan","Pedesaan")</f>
        <v>Perkotaan</v>
      </c>
      <c r="C240" s="7">
        <v>616.59229309587204</v>
      </c>
    </row>
    <row r="241" spans="2:3" x14ac:dyDescent="0.25">
      <c r="B241" t="str">
        <f>IF('Data Kumpulan'!B245=1,"Perkotaan","Pedesaan")</f>
        <v>Pedesaan</v>
      </c>
      <c r="C241" s="7">
        <v>113.104447637877</v>
      </c>
    </row>
    <row r="242" spans="2:3" x14ac:dyDescent="0.25">
      <c r="B242" t="str">
        <f>IF('Data Kumpulan'!B246=1,"Perkotaan","Pedesaan")</f>
        <v>Pedesaan</v>
      </c>
      <c r="C242" s="7">
        <v>658.97723307593606</v>
      </c>
    </row>
    <row r="243" spans="2:3" x14ac:dyDescent="0.25">
      <c r="B243" t="str">
        <f>IF('Data Kumpulan'!B247=1,"Perkotaan","Pedesaan")</f>
        <v>Perkotaan</v>
      </c>
      <c r="C243" s="7">
        <v>991.36533512081405</v>
      </c>
    </row>
    <row r="244" spans="2:3" x14ac:dyDescent="0.25">
      <c r="B244" t="str">
        <f>IF('Data Kumpulan'!B248=1,"Perkotaan","Pedesaan")</f>
        <v>Pedesaan</v>
      </c>
      <c r="C244" s="7">
        <v>316.68530618520202</v>
      </c>
    </row>
    <row r="245" spans="2:3" x14ac:dyDescent="0.25">
      <c r="B245" t="str">
        <f>IF('Data Kumpulan'!B249=1,"Perkotaan","Pedesaan")</f>
        <v>Perkotaan</v>
      </c>
      <c r="C245" s="7">
        <v>1697.6344072484101</v>
      </c>
    </row>
    <row r="246" spans="2:3" x14ac:dyDescent="0.25">
      <c r="B246" t="str">
        <f>IF('Data Kumpulan'!B250=1,"Perkotaan","Pedesaan")</f>
        <v>Pedesaan</v>
      </c>
      <c r="C246" s="7">
        <v>1024.9336762753901</v>
      </c>
    </row>
    <row r="247" spans="2:3" x14ac:dyDescent="0.25">
      <c r="B247" t="str">
        <f>IF('Data Kumpulan'!B251=1,"Perkotaan","Pedesaan")</f>
        <v>Pedesaan</v>
      </c>
      <c r="C247" s="7">
        <v>410.88348475732801</v>
      </c>
    </row>
    <row r="248" spans="2:3" x14ac:dyDescent="0.25">
      <c r="B248" t="str">
        <f>IF('Data Kumpulan'!B252=1,"Perkotaan","Pedesaan")</f>
        <v>Perkotaan</v>
      </c>
      <c r="C248" s="7">
        <v>616.46187323372203</v>
      </c>
    </row>
    <row r="249" spans="2:3" x14ac:dyDescent="0.25">
      <c r="B249" t="str">
        <f>IF('Data Kumpulan'!B253=1,"Perkotaan","Pedesaan")</f>
        <v>Pedesaan</v>
      </c>
      <c r="C249" s="7">
        <v>410.90162416052601</v>
      </c>
    </row>
    <row r="250" spans="2:3" x14ac:dyDescent="0.25">
      <c r="B250" t="str">
        <f>IF('Data Kumpulan'!B254=1,"Perkotaan","Pedesaan")</f>
        <v>Pedesaan</v>
      </c>
      <c r="C250" s="7">
        <v>255.224813953942</v>
      </c>
    </row>
    <row r="251" spans="2:3" x14ac:dyDescent="0.25">
      <c r="B251" t="str">
        <f>IF('Data Kumpulan'!B255=1,"Perkotaan","Pedesaan")</f>
        <v>Perkotaan</v>
      </c>
      <c r="C251" s="7">
        <v>1063.8384739993901</v>
      </c>
    </row>
    <row r="252" spans="2:3" x14ac:dyDescent="0.25">
      <c r="B252" t="str">
        <f>IF('Data Kumpulan'!B256=1,"Perkotaan","Pedesaan")</f>
        <v>Pedesaan</v>
      </c>
      <c r="C252" s="7">
        <v>460.567775913096</v>
      </c>
    </row>
    <row r="253" spans="2:3" x14ac:dyDescent="0.25">
      <c r="B253" t="str">
        <f>IF('Data Kumpulan'!B257=1,"Perkotaan","Pedesaan")</f>
        <v>Pedesaan</v>
      </c>
      <c r="C253" s="7">
        <v>1409.70308395749</v>
      </c>
    </row>
    <row r="254" spans="2:3" x14ac:dyDescent="0.25">
      <c r="B254" t="str">
        <f>IF('Data Kumpulan'!B258=1,"Perkotaan","Pedesaan")</f>
        <v>Perkotaan</v>
      </c>
      <c r="C254" s="7">
        <v>880.64575217293896</v>
      </c>
    </row>
    <row r="255" spans="2:3" x14ac:dyDescent="0.25">
      <c r="B255" t="str">
        <f>IF('Data Kumpulan'!B259=1,"Perkotaan","Pedesaan")</f>
        <v>Perkotaan</v>
      </c>
      <c r="C255" s="7">
        <v>532.96544345682105</v>
      </c>
    </row>
    <row r="256" spans="2:3" x14ac:dyDescent="0.25">
      <c r="B256" t="str">
        <f>IF('Data Kumpulan'!B260=1,"Perkotaan","Pedesaan")</f>
        <v>Perkotaan</v>
      </c>
      <c r="C256" s="7">
        <v>1620.20553330383</v>
      </c>
    </row>
    <row r="257" spans="2:3" x14ac:dyDescent="0.25">
      <c r="B257" t="str">
        <f>IF('Data Kumpulan'!B261=1,"Perkotaan","Pedesaan")</f>
        <v>Pedesaan</v>
      </c>
      <c r="C257" s="7">
        <v>236.325832493289</v>
      </c>
    </row>
    <row r="258" spans="2:3" x14ac:dyDescent="0.25">
      <c r="B258" t="str">
        <f>IF('Data Kumpulan'!B262=1,"Perkotaan","Pedesaan")</f>
        <v>Pedesaan</v>
      </c>
      <c r="C258" s="7">
        <v>128.45401939376501</v>
      </c>
    </row>
    <row r="259" spans="2:3" x14ac:dyDescent="0.25">
      <c r="B259" t="str">
        <f>IF('Data Kumpulan'!B263=1,"Perkotaan","Pedesaan")</f>
        <v>Perkotaan</v>
      </c>
      <c r="C259" s="7">
        <v>1467.6828280019199</v>
      </c>
    </row>
    <row r="260" spans="2:3" x14ac:dyDescent="0.25">
      <c r="B260" t="str">
        <f>IF('Data Kumpulan'!B264=1,"Perkotaan","Pedesaan")</f>
        <v>Pedesaan</v>
      </c>
      <c r="C260" s="7">
        <v>26.629878399302701</v>
      </c>
    </row>
    <row r="261" spans="2:3" x14ac:dyDescent="0.25">
      <c r="B261" t="str">
        <f>IF('Data Kumpulan'!B265=1,"Perkotaan","Pedesaan")</f>
        <v>Pedesaan</v>
      </c>
      <c r="C261" s="7">
        <v>119.015282085484</v>
      </c>
    </row>
    <row r="262" spans="2:3" x14ac:dyDescent="0.25">
      <c r="B262" t="str">
        <f>IF('Data Kumpulan'!B266=1,"Perkotaan","Pedesaan")</f>
        <v>Pedesaan</v>
      </c>
      <c r="C262" s="7">
        <v>1673.2704347030301</v>
      </c>
    </row>
    <row r="263" spans="2:3" x14ac:dyDescent="0.25">
      <c r="B263" t="str">
        <f>IF('Data Kumpulan'!B267=1,"Perkotaan","Pedesaan")</f>
        <v>Perkotaan</v>
      </c>
      <c r="C263" s="7">
        <v>989.43421147835602</v>
      </c>
    </row>
    <row r="264" spans="2:3" x14ac:dyDescent="0.25">
      <c r="B264" t="str">
        <f>IF('Data Kumpulan'!B268=1,"Perkotaan","Pedesaan")</f>
        <v>Perkotaan</v>
      </c>
      <c r="C264" s="7">
        <v>582.89462828966305</v>
      </c>
    </row>
    <row r="265" spans="2:3" x14ac:dyDescent="0.25">
      <c r="B265" t="str">
        <f>IF('Data Kumpulan'!B269=1,"Perkotaan","Pedesaan")</f>
        <v>Pedesaan</v>
      </c>
      <c r="C265" s="7">
        <v>661.59856415804904</v>
      </c>
    </row>
    <row r="266" spans="2:3" x14ac:dyDescent="0.25">
      <c r="B266" t="str">
        <f>IF('Data Kumpulan'!B270=1,"Perkotaan","Pedesaan")</f>
        <v>Pedesaan</v>
      </c>
      <c r="C266" s="7">
        <v>482.786739686825</v>
      </c>
    </row>
    <row r="267" spans="2:3" x14ac:dyDescent="0.25">
      <c r="B267" t="str">
        <f>IF('Data Kumpulan'!B271=1,"Perkotaan","Pedesaan")</f>
        <v>Pedesaan</v>
      </c>
      <c r="C267" s="7">
        <v>149.145538763925</v>
      </c>
    </row>
    <row r="268" spans="2:3" x14ac:dyDescent="0.25">
      <c r="B268" t="str">
        <f>IF('Data Kumpulan'!B272=1,"Perkotaan","Pedesaan")</f>
        <v>Perkotaan</v>
      </c>
      <c r="C268" s="7">
        <v>1205.0169971472201</v>
      </c>
    </row>
    <row r="269" spans="2:3" x14ac:dyDescent="0.25">
      <c r="B269" t="str">
        <f>IF('Data Kumpulan'!B273=1,"Perkotaan","Pedesaan")</f>
        <v>Pedesaan</v>
      </c>
      <c r="C269" s="7">
        <v>1108.9586604004801</v>
      </c>
    </row>
    <row r="270" spans="2:3" x14ac:dyDescent="0.25">
      <c r="B270" t="str">
        <f>IF('Data Kumpulan'!B274=1,"Perkotaan","Pedesaan")</f>
        <v>Pedesaan</v>
      </c>
      <c r="C270" s="7">
        <v>308.97330173938701</v>
      </c>
    </row>
    <row r="271" spans="2:3" x14ac:dyDescent="0.25">
      <c r="B271" t="str">
        <f>IF('Data Kumpulan'!B275=1,"Perkotaan","Pedesaan")</f>
        <v>Pedesaan</v>
      </c>
      <c r="C271" s="7">
        <v>570.56248270100002</v>
      </c>
    </row>
    <row r="272" spans="2:3" x14ac:dyDescent="0.25">
      <c r="B272" t="str">
        <f>IF('Data Kumpulan'!B276=1,"Perkotaan","Pedesaan")</f>
        <v>Perkotaan</v>
      </c>
      <c r="C272" s="7">
        <v>652.43148990651696</v>
      </c>
    </row>
    <row r="273" spans="2:3" x14ac:dyDescent="0.25">
      <c r="B273" t="str">
        <f>IF('Data Kumpulan'!B277=1,"Perkotaan","Pedesaan")</f>
        <v>Pedesaan</v>
      </c>
      <c r="C273" s="7">
        <v>898.76336419069003</v>
      </c>
    </row>
    <row r="274" spans="2:3" x14ac:dyDescent="0.25">
      <c r="B274" t="str">
        <f>IF('Data Kumpulan'!B279=1,"Perkotaan","Pedesaan")</f>
        <v>Perkotaan</v>
      </c>
      <c r="C274" s="7">
        <v>881.51971087367394</v>
      </c>
    </row>
    <row r="275" spans="2:3" x14ac:dyDescent="0.25">
      <c r="B275" t="str">
        <f>IF('Data Kumpulan'!B280=1,"Perkotaan","Pedesaan")</f>
        <v>Perkotaan</v>
      </c>
      <c r="C275" s="7">
        <v>591.69554134995406</v>
      </c>
    </row>
    <row r="276" spans="2:3" x14ac:dyDescent="0.25">
      <c r="B276" t="str">
        <f>IF('Data Kumpulan'!B281=1,"Perkotaan","Pedesaan")</f>
        <v>Perkotaan</v>
      </c>
      <c r="C276" s="7">
        <v>610.90816266404795</v>
      </c>
    </row>
    <row r="277" spans="2:3" x14ac:dyDescent="0.25">
      <c r="B277" t="str">
        <f>IF('Data Kumpulan'!B282=1,"Perkotaan","Pedesaan")</f>
        <v>Perkotaan</v>
      </c>
      <c r="C277" s="7">
        <v>468.10678787192097</v>
      </c>
    </row>
    <row r="278" spans="2:3" x14ac:dyDescent="0.25">
      <c r="B278" t="str">
        <f>IF('Data Kumpulan'!B283=1,"Perkotaan","Pedesaan")</f>
        <v>Pedesaan</v>
      </c>
      <c r="C278" s="7">
        <v>335.55702414731201</v>
      </c>
    </row>
    <row r="279" spans="2:3" x14ac:dyDescent="0.25">
      <c r="B279" t="str">
        <f>IF('Data Kumpulan'!B284=1,"Perkotaan","Pedesaan")</f>
        <v>Perkotaan</v>
      </c>
      <c r="C279" s="7">
        <v>673.10559729358397</v>
      </c>
    </row>
    <row r="280" spans="2:3" x14ac:dyDescent="0.25">
      <c r="B280" t="str">
        <f>IF('Data Kumpulan'!B285=1,"Perkotaan","Pedesaan")</f>
        <v>Pedesaan</v>
      </c>
      <c r="C280" s="7">
        <v>36.9473505913544</v>
      </c>
    </row>
    <row r="281" spans="2:3" x14ac:dyDescent="0.25">
      <c r="B281" t="str">
        <f>IF('Data Kumpulan'!B286=1,"Perkotaan","Pedesaan")</f>
        <v>Perkotaan</v>
      </c>
      <c r="C281" s="7">
        <v>896.78295892476103</v>
      </c>
    </row>
    <row r="282" spans="2:3" x14ac:dyDescent="0.25">
      <c r="B282" t="str">
        <f>IF('Data Kumpulan'!B287=1,"Perkotaan","Pedesaan")</f>
        <v>Pedesaan</v>
      </c>
      <c r="C282" s="7">
        <v>526.65730011386995</v>
      </c>
    </row>
    <row r="283" spans="2:3" x14ac:dyDescent="0.25">
      <c r="B283" t="str">
        <f>IF('Data Kumpulan'!B288=1,"Perkotaan","Pedesaan")</f>
        <v>Pedesaan</v>
      </c>
      <c r="C283" s="7">
        <v>621.82849805461296</v>
      </c>
    </row>
    <row r="284" spans="2:3" x14ac:dyDescent="0.25">
      <c r="B284" t="str">
        <f>IF('Data Kumpulan'!B289=1,"Perkotaan","Pedesaan")</f>
        <v>Pedesaan</v>
      </c>
      <c r="C284" s="7">
        <v>531.57435051341497</v>
      </c>
    </row>
    <row r="285" spans="2:3" x14ac:dyDescent="0.25">
      <c r="B285" t="str">
        <f>IF('Data Kumpulan'!B290=1,"Perkotaan","Pedesaan")</f>
        <v>Pedesaan</v>
      </c>
      <c r="C285" s="7">
        <v>30.9772424276041</v>
      </c>
    </row>
    <row r="286" spans="2:3" x14ac:dyDescent="0.25">
      <c r="B286" t="str">
        <f>IF('Data Kumpulan'!B291=1,"Perkotaan","Pedesaan")</f>
        <v>Pedesaan</v>
      </c>
      <c r="C286" s="7">
        <v>364.35681681112698</v>
      </c>
    </row>
    <row r="287" spans="2:3" x14ac:dyDescent="0.25">
      <c r="B287" t="str">
        <f>IF('Data Kumpulan'!B292=1,"Perkotaan","Pedesaan")</f>
        <v>Perkotaan</v>
      </c>
      <c r="C287" s="7">
        <v>507.47018072273301</v>
      </c>
    </row>
    <row r="288" spans="2:3" x14ac:dyDescent="0.25">
      <c r="B288" t="str">
        <f>IF('Data Kumpulan'!B293=1,"Perkotaan","Pedesaan")</f>
        <v>Pedesaan</v>
      </c>
      <c r="C288" s="7">
        <v>853.42556490752895</v>
      </c>
    </row>
    <row r="289" spans="2:3" x14ac:dyDescent="0.25">
      <c r="B289" t="str">
        <f>IF('Data Kumpulan'!B294=1,"Perkotaan","Pedesaan")</f>
        <v>Pedesaan</v>
      </c>
      <c r="C289" s="7">
        <v>396.17780972670602</v>
      </c>
    </row>
    <row r="290" spans="2:3" x14ac:dyDescent="0.25">
      <c r="B290" t="str">
        <f>IF('Data Kumpulan'!B295=1,"Perkotaan","Pedesaan")</f>
        <v>Perkotaan</v>
      </c>
      <c r="C290" s="7">
        <v>983.86841901996104</v>
      </c>
    </row>
    <row r="291" spans="2:3" x14ac:dyDescent="0.25">
      <c r="B291" t="str">
        <f>IF('Data Kumpulan'!B296=1,"Perkotaan","Pedesaan")</f>
        <v>Perkotaan</v>
      </c>
      <c r="C291" s="7">
        <v>897.84774692191502</v>
      </c>
    </row>
    <row r="292" spans="2:3" x14ac:dyDescent="0.25">
      <c r="B292" t="str">
        <f>IF('Data Kumpulan'!B297=1,"Perkotaan","Pedesaan")</f>
        <v>Perkotaan</v>
      </c>
      <c r="C292" s="7">
        <v>580.32711778582905</v>
      </c>
    </row>
    <row r="293" spans="2:3" x14ac:dyDescent="0.25">
      <c r="B293" t="str">
        <f>IF('Data Kumpulan'!B298=1,"Perkotaan","Pedesaan")</f>
        <v>Perkotaan</v>
      </c>
      <c r="C293" s="7">
        <v>264.32163083588603</v>
      </c>
    </row>
    <row r="294" spans="2:3" x14ac:dyDescent="0.25">
      <c r="B294" t="str">
        <f>IF('Data Kumpulan'!B299=1,"Perkotaan","Pedesaan")</f>
        <v>Perkotaan</v>
      </c>
      <c r="C294" s="7">
        <v>648.21103003311703</v>
      </c>
    </row>
    <row r="295" spans="2:3" x14ac:dyDescent="0.25">
      <c r="B295" t="str">
        <f>IF('Data Kumpulan'!B300=1,"Perkotaan","Pedesaan")</f>
        <v>Pedesaan</v>
      </c>
      <c r="C295" s="7">
        <v>728.18195719402695</v>
      </c>
    </row>
    <row r="296" spans="2:3" x14ac:dyDescent="0.25">
      <c r="B296" t="str">
        <f>IF('Data Kumpulan'!B301=1,"Perkotaan","Pedesaan")</f>
        <v>Perkotaan</v>
      </c>
      <c r="C296" s="7">
        <v>408.22969723272303</v>
      </c>
    </row>
    <row r="297" spans="2:3" x14ac:dyDescent="0.25">
      <c r="B297" t="str">
        <f>IF('Data Kumpulan'!B302=1,"Perkotaan","Pedesaan")</f>
        <v>Perkotaan</v>
      </c>
      <c r="C297" s="7">
        <v>686.784256969843</v>
      </c>
    </row>
    <row r="298" spans="2:3" x14ac:dyDescent="0.25">
      <c r="B298" t="str">
        <f>IF('Data Kumpulan'!B303=1,"Perkotaan","Pedesaan")</f>
        <v>Perkotaan</v>
      </c>
      <c r="C298" s="7">
        <v>918.30767500568595</v>
      </c>
    </row>
    <row r="299" spans="2:3" x14ac:dyDescent="0.25">
      <c r="B299" t="str">
        <f>IF('Data Kumpulan'!B304=1,"Perkotaan","Pedesaan")</f>
        <v>Pedesaan</v>
      </c>
      <c r="C299" s="7">
        <v>330.24484827937601</v>
      </c>
    </row>
    <row r="300" spans="2:3" x14ac:dyDescent="0.25">
      <c r="B300" t="str">
        <f>IF('Data Kumpulan'!B305=1,"Perkotaan","Pedesaan")</f>
        <v>Perkotaan</v>
      </c>
      <c r="C300" s="7">
        <v>511.29785953866201</v>
      </c>
    </row>
    <row r="301" spans="2:3" x14ac:dyDescent="0.25">
      <c r="B301" t="str">
        <f>IF('Data Kumpulan'!B306=1,"Perkotaan","Pedesaan")</f>
        <v>Perkotaan</v>
      </c>
      <c r="C301" s="7">
        <v>352.32941853253902</v>
      </c>
    </row>
    <row r="302" spans="2:3" x14ac:dyDescent="0.25">
      <c r="B302" t="str">
        <f>IF('Data Kumpulan'!B307=1,"Perkotaan","Pedesaan")</f>
        <v>Pedesaan</v>
      </c>
      <c r="C302" s="7">
        <v>599.87202477587903</v>
      </c>
    </row>
    <row r="303" spans="2:3" x14ac:dyDescent="0.25">
      <c r="B303" t="str">
        <f>IF('Data Kumpulan'!B308=1,"Perkotaan","Pedesaan")</f>
        <v>Perkotaan</v>
      </c>
      <c r="C303" s="7">
        <v>1055.4067133246101</v>
      </c>
    </row>
    <row r="304" spans="2:3" x14ac:dyDescent="0.25">
      <c r="B304" t="str">
        <f>IF('Data Kumpulan'!B309=1,"Perkotaan","Pedesaan")</f>
        <v>Pedesaan</v>
      </c>
      <c r="C304" s="7">
        <v>368.83162221134597</v>
      </c>
    </row>
    <row r="305" spans="2:3" x14ac:dyDescent="0.25">
      <c r="B305" t="str">
        <f>IF('Data Kumpulan'!B310=1,"Perkotaan","Pedesaan")</f>
        <v>Pedesaan</v>
      </c>
      <c r="C305" s="7">
        <v>789.39987772026802</v>
      </c>
    </row>
    <row r="306" spans="2:3" x14ac:dyDescent="0.25">
      <c r="B306" t="str">
        <f>IF('Data Kumpulan'!B311=1,"Perkotaan","Pedesaan")</f>
        <v>Perkotaan</v>
      </c>
      <c r="C306" s="7">
        <v>1118.2897102556601</v>
      </c>
    </row>
    <row r="307" spans="2:3" x14ac:dyDescent="0.25">
      <c r="B307" t="str">
        <f>IF('Data Kumpulan'!B312=1,"Perkotaan","Pedesaan")</f>
        <v>Pedesaan</v>
      </c>
      <c r="C307" s="7">
        <v>520.50921982692205</v>
      </c>
    </row>
    <row r="308" spans="2:3" x14ac:dyDescent="0.25">
      <c r="B308" t="str">
        <f>IF('Data Kumpulan'!B313=1,"Perkotaan","Pedesaan")</f>
        <v>Perkotaan</v>
      </c>
      <c r="C308" s="7">
        <v>863.65126672483098</v>
      </c>
    </row>
    <row r="309" spans="2:3" x14ac:dyDescent="0.25">
      <c r="B309" t="str">
        <f>IF('Data Kumpulan'!B314=1,"Perkotaan","Pedesaan")</f>
        <v>Perkotaan</v>
      </c>
      <c r="C309" s="7">
        <v>463.279208266544</v>
      </c>
    </row>
    <row r="310" spans="2:3" x14ac:dyDescent="0.25">
      <c r="B310" t="str">
        <f>IF('Data Kumpulan'!B315=1,"Perkotaan","Pedesaan")</f>
        <v>Pedesaan</v>
      </c>
      <c r="C310" s="7">
        <v>170.19073368565401</v>
      </c>
    </row>
    <row r="311" spans="2:3" x14ac:dyDescent="0.25">
      <c r="B311" t="str">
        <f>IF('Data Kumpulan'!B316=1,"Perkotaan","Pedesaan")</f>
        <v>Perkotaan</v>
      </c>
      <c r="C311" s="7">
        <v>8.1506446070587906</v>
      </c>
    </row>
    <row r="312" spans="2:3" x14ac:dyDescent="0.25">
      <c r="B312" t="str">
        <f>IF('Data Kumpulan'!B317=1,"Perkotaan","Pedesaan")</f>
        <v>Perkotaan</v>
      </c>
      <c r="C312" s="7">
        <v>987.75413953897805</v>
      </c>
    </row>
    <row r="313" spans="2:3" x14ac:dyDescent="0.25">
      <c r="B313" t="str">
        <f>IF('Data Kumpulan'!B318=1,"Perkotaan","Pedesaan")</f>
        <v>Perkotaan</v>
      </c>
      <c r="C313" s="7">
        <v>497.64774496388497</v>
      </c>
    </row>
    <row r="314" spans="2:3" x14ac:dyDescent="0.25">
      <c r="B314" t="str">
        <f>IF('Data Kumpulan'!B319=1,"Perkotaan","Pedesaan")</f>
        <v>Pedesaan</v>
      </c>
      <c r="C314" s="7">
        <v>399.36967513918302</v>
      </c>
    </row>
    <row r="315" spans="2:3" x14ac:dyDescent="0.25">
      <c r="B315" t="str">
        <f>IF('Data Kumpulan'!B320=1,"Perkotaan","Pedesaan")</f>
        <v>Pedesaan</v>
      </c>
      <c r="C315" s="7">
        <v>96.387512521847398</v>
      </c>
    </row>
    <row r="316" spans="2:3" x14ac:dyDescent="0.25">
      <c r="B316" t="str">
        <f>IF('Data Kumpulan'!B321=1,"Perkotaan","Pedesaan")</f>
        <v>Pedesaan</v>
      </c>
      <c r="C316" s="7">
        <v>302.32816298986597</v>
      </c>
    </row>
    <row r="317" spans="2:3" x14ac:dyDescent="0.25">
      <c r="B317" t="str">
        <f>IF('Data Kumpulan'!B322=1,"Perkotaan","Pedesaan")</f>
        <v>Pedesaan</v>
      </c>
      <c r="C317" s="7">
        <v>573.20623299134104</v>
      </c>
    </row>
    <row r="318" spans="2:3" x14ac:dyDescent="0.25">
      <c r="B318" t="str">
        <f>IF('Data Kumpulan'!B323=1,"Perkotaan","Pedesaan")</f>
        <v>Perkotaan</v>
      </c>
      <c r="C318" s="7">
        <v>277.42478937238701</v>
      </c>
    </row>
    <row r="319" spans="2:3" x14ac:dyDescent="0.25">
      <c r="B319" t="str">
        <f>IF('Data Kumpulan'!B324=1,"Perkotaan","Pedesaan")</f>
        <v>Perkotaan</v>
      </c>
      <c r="C319" s="7">
        <v>978.65907410669604</v>
      </c>
    </row>
    <row r="320" spans="2:3" x14ac:dyDescent="0.25">
      <c r="B320" t="str">
        <f>IF('Data Kumpulan'!B325=1,"Perkotaan","Pedesaan")</f>
        <v>Perkotaan</v>
      </c>
      <c r="C320" s="7">
        <v>408.55338306930901</v>
      </c>
    </row>
    <row r="321" spans="2:3" x14ac:dyDescent="0.25">
      <c r="B321" t="str">
        <f>IF('Data Kumpulan'!B326=1,"Perkotaan","Pedesaan")</f>
        <v>Perkotaan</v>
      </c>
      <c r="C321" s="7">
        <v>585.99034015654195</v>
      </c>
    </row>
    <row r="322" spans="2:3" x14ac:dyDescent="0.25">
      <c r="B322" t="str">
        <f>IF('Data Kumpulan'!B327=1,"Perkotaan","Pedesaan")</f>
        <v>Perkotaan</v>
      </c>
      <c r="C322" s="7">
        <v>175.863103570676</v>
      </c>
    </row>
    <row r="323" spans="2:3" x14ac:dyDescent="0.25">
      <c r="B323" t="str">
        <f>IF('Data Kumpulan'!B328=1,"Perkotaan","Pedesaan")</f>
        <v>Pedesaan</v>
      </c>
      <c r="C323" s="7">
        <v>446.17336547735403</v>
      </c>
    </row>
    <row r="324" spans="2:3" x14ac:dyDescent="0.25">
      <c r="B324" t="str">
        <f>IF('Data Kumpulan'!B329=1,"Perkotaan","Pedesaan")</f>
        <v>Pedesaan</v>
      </c>
      <c r="C324" s="7">
        <v>441.63364046003301</v>
      </c>
    </row>
    <row r="325" spans="2:3" x14ac:dyDescent="0.25">
      <c r="B325" t="str">
        <f>IF('Data Kumpulan'!B330=1,"Perkotaan","Pedesaan")</f>
        <v>Perkotaan</v>
      </c>
      <c r="C325" s="7">
        <v>568.14296444011495</v>
      </c>
    </row>
    <row r="326" spans="2:3" x14ac:dyDescent="0.25">
      <c r="B326" t="str">
        <f>IF('Data Kumpulan'!B331=1,"Perkotaan","Pedesaan")</f>
        <v>Perkotaan</v>
      </c>
      <c r="C326" s="7">
        <v>837.40353032553503</v>
      </c>
    </row>
    <row r="327" spans="2:3" x14ac:dyDescent="0.25">
      <c r="B327" t="str">
        <f>IF('Data Kumpulan'!B332=1,"Perkotaan","Pedesaan")</f>
        <v>Perkotaan</v>
      </c>
      <c r="C327" s="7">
        <v>767.46115669114897</v>
      </c>
    </row>
    <row r="328" spans="2:3" x14ac:dyDescent="0.25">
      <c r="B328" t="str">
        <f>IF('Data Kumpulan'!B333=1,"Perkotaan","Pedesaan")</f>
        <v>Perkotaan</v>
      </c>
      <c r="C328" s="7">
        <v>455.21693538420902</v>
      </c>
    </row>
    <row r="329" spans="2:3" x14ac:dyDescent="0.25">
      <c r="B329" t="str">
        <f>IF('Data Kumpulan'!B334=1,"Perkotaan","Pedesaan")</f>
        <v>Pedesaan</v>
      </c>
      <c r="C329" s="7">
        <v>215.992539561543</v>
      </c>
    </row>
    <row r="330" spans="2:3" x14ac:dyDescent="0.25">
      <c r="B330" t="str">
        <f>IF('Data Kumpulan'!B335=1,"Perkotaan","Pedesaan")</f>
        <v>Pedesaan</v>
      </c>
      <c r="C330" s="7">
        <v>404.88155758636401</v>
      </c>
    </row>
    <row r="331" spans="2:3" x14ac:dyDescent="0.25">
      <c r="B331" t="str">
        <f>IF('Data Kumpulan'!B336=1,"Perkotaan","Pedesaan")</f>
        <v>Perkotaan</v>
      </c>
      <c r="C331" s="7">
        <v>248.48751901811499</v>
      </c>
    </row>
    <row r="332" spans="2:3" x14ac:dyDescent="0.25">
      <c r="B332" t="str">
        <f>IF('Data Kumpulan'!B337=1,"Perkotaan","Pedesaan")</f>
        <v>Perkotaan</v>
      </c>
      <c r="C332" s="7">
        <v>717.84901522757696</v>
      </c>
    </row>
    <row r="333" spans="2:3" x14ac:dyDescent="0.25">
      <c r="B333" t="str">
        <f>IF('Data Kumpulan'!B338=1,"Perkotaan","Pedesaan")</f>
        <v>Perkotaan</v>
      </c>
      <c r="C333" s="7">
        <v>1128.53801344454</v>
      </c>
    </row>
    <row r="334" spans="2:3" x14ac:dyDescent="0.25">
      <c r="B334" t="str">
        <f>IF('Data Kumpulan'!B339=1,"Perkotaan","Pedesaan")</f>
        <v>Perkotaan</v>
      </c>
      <c r="C334" s="7">
        <v>642.52504453888002</v>
      </c>
    </row>
    <row r="335" spans="2:3" x14ac:dyDescent="0.25">
      <c r="B335" t="str">
        <f>IF('Data Kumpulan'!B340=1,"Perkotaan","Pedesaan")</f>
        <v>Perkotaan</v>
      </c>
      <c r="C335" s="7">
        <v>715.11765203841401</v>
      </c>
    </row>
    <row r="336" spans="2:3" x14ac:dyDescent="0.25">
      <c r="B336" t="str">
        <f>IF('Data Kumpulan'!B341=1,"Perkotaan","Pedesaan")</f>
        <v>Pedesaan</v>
      </c>
      <c r="C336" s="7">
        <v>747.86242127481501</v>
      </c>
    </row>
    <row r="337" spans="2:3" x14ac:dyDescent="0.25">
      <c r="B337" t="str">
        <f>IF('Data Kumpulan'!B342=1,"Perkotaan","Pedesaan")</f>
        <v>Perkotaan</v>
      </c>
      <c r="C337" s="7">
        <v>1245.8816202806699</v>
      </c>
    </row>
    <row r="338" spans="2:3" x14ac:dyDescent="0.25">
      <c r="B338" t="str">
        <f>IF('Data Kumpulan'!B343=1,"Perkotaan","Pedesaan")</f>
        <v>Pedesaan</v>
      </c>
      <c r="C338" s="7">
        <v>1329.3473430317599</v>
      </c>
    </row>
    <row r="339" spans="2:3" x14ac:dyDescent="0.25">
      <c r="B339" t="str">
        <f>IF('Data Kumpulan'!B344=1,"Perkotaan","Pedesaan")</f>
        <v>Pedesaan</v>
      </c>
      <c r="C339" s="7">
        <v>570.66568468706305</v>
      </c>
    </row>
    <row r="340" spans="2:3" x14ac:dyDescent="0.25">
      <c r="B340" t="str">
        <f>IF('Data Kumpulan'!B345=1,"Perkotaan","Pedesaan")</f>
        <v>Pedesaan</v>
      </c>
      <c r="C340" s="7">
        <v>196.580710400935</v>
      </c>
    </row>
    <row r="341" spans="2:3" x14ac:dyDescent="0.25">
      <c r="B341" t="str">
        <f>IF('Data Kumpulan'!B346=1,"Perkotaan","Pedesaan")</f>
        <v>Perkotaan</v>
      </c>
      <c r="C341" s="7">
        <v>1621.3032556210901</v>
      </c>
    </row>
    <row r="342" spans="2:3" x14ac:dyDescent="0.25">
      <c r="B342" t="str">
        <f>IF('Data Kumpulan'!B347=1,"Perkotaan","Pedesaan")</f>
        <v>Perkotaan</v>
      </c>
      <c r="C342" s="7">
        <v>590.37103374069204</v>
      </c>
    </row>
    <row r="343" spans="2:3" x14ac:dyDescent="0.25">
      <c r="B343" t="str">
        <f>IF('Data Kumpulan'!B348=1,"Perkotaan","Pedesaan")</f>
        <v>Perkotaan</v>
      </c>
      <c r="C343" s="7">
        <v>572.53685922140596</v>
      </c>
    </row>
    <row r="344" spans="2:3" x14ac:dyDescent="0.25">
      <c r="B344" t="str">
        <f>IF('Data Kumpulan'!B349=1,"Perkotaan","Pedesaan")</f>
        <v>Perkotaan</v>
      </c>
      <c r="C344" s="7">
        <v>562.60364431380901</v>
      </c>
    </row>
    <row r="345" spans="2:3" x14ac:dyDescent="0.25">
      <c r="B345" t="str">
        <f>IF('Data Kumpulan'!B350=1,"Perkotaan","Pedesaan")</f>
        <v>Pedesaan</v>
      </c>
      <c r="C345" s="7">
        <v>778.66240514211495</v>
      </c>
    </row>
    <row r="346" spans="2:3" x14ac:dyDescent="0.25">
      <c r="B346" t="str">
        <f>IF('Data Kumpulan'!B351=1,"Perkotaan","Pedesaan")</f>
        <v>Perkotaan</v>
      </c>
      <c r="C346" s="7">
        <v>1149.1400170854099</v>
      </c>
    </row>
    <row r="347" spans="2:3" x14ac:dyDescent="0.25">
      <c r="B347" t="str">
        <f>IF('Data Kumpulan'!B352=1,"Perkotaan","Pedesaan")</f>
        <v>Pedesaan</v>
      </c>
      <c r="C347" s="7">
        <v>503.47427623053801</v>
      </c>
    </row>
    <row r="348" spans="2:3" x14ac:dyDescent="0.25">
      <c r="B348" t="str">
        <f>IF('Data Kumpulan'!B353=1,"Perkotaan","Pedesaan")</f>
        <v>Perkotaan</v>
      </c>
      <c r="C348" s="7">
        <v>572.65864994847004</v>
      </c>
    </row>
    <row r="349" spans="2:3" x14ac:dyDescent="0.25">
      <c r="B349" t="str">
        <f>IF('Data Kumpulan'!B354=1,"Perkotaan","Pedesaan")</f>
        <v>Perkotaan</v>
      </c>
      <c r="C349" s="7">
        <v>650.01447001215297</v>
      </c>
    </row>
    <row r="350" spans="2:3" x14ac:dyDescent="0.25">
      <c r="B350" t="str">
        <f>IF('Data Kumpulan'!B355=1,"Perkotaan","Pedesaan")</f>
        <v>Perkotaan</v>
      </c>
      <c r="C350" s="7">
        <v>1649.62653889377</v>
      </c>
    </row>
    <row r="351" spans="2:3" x14ac:dyDescent="0.25">
      <c r="B351" t="str">
        <f>IF('Data Kumpulan'!B356=1,"Perkotaan","Pedesaan")</f>
        <v>Pedesaan</v>
      </c>
      <c r="C351" s="7">
        <v>142.552098847248</v>
      </c>
    </row>
    <row r="352" spans="2:3" x14ac:dyDescent="0.25">
      <c r="B352" t="str">
        <f>IF('Data Kumpulan'!B357=1,"Perkotaan","Pedesaan")</f>
        <v>Pedesaan</v>
      </c>
      <c r="C352" s="7">
        <v>903.25981479592997</v>
      </c>
    </row>
    <row r="353" spans="2:3" x14ac:dyDescent="0.25">
      <c r="B353" t="str">
        <f>IF('Data Kumpulan'!B358=1,"Perkotaan","Pedesaan")</f>
        <v>Pedesaan</v>
      </c>
      <c r="C353" s="7">
        <v>475.482384847844</v>
      </c>
    </row>
    <row r="354" spans="2:3" x14ac:dyDescent="0.25">
      <c r="B354" t="str">
        <f>IF('Data Kumpulan'!B359=1,"Perkotaan","Pedesaan")</f>
        <v>Pedesaan</v>
      </c>
      <c r="C354" s="7">
        <v>776.83308440629605</v>
      </c>
    </row>
    <row r="355" spans="2:3" x14ac:dyDescent="0.25">
      <c r="B355" t="str">
        <f>IF('Data Kumpulan'!B360=1,"Perkotaan","Pedesaan")</f>
        <v>Perkotaan</v>
      </c>
      <c r="C355" s="7">
        <v>518.22117644057903</v>
      </c>
    </row>
    <row r="356" spans="2:3" x14ac:dyDescent="0.25">
      <c r="B356" t="str">
        <f>IF('Data Kumpulan'!B361=1,"Perkotaan","Pedesaan")</f>
        <v>Pedesaan</v>
      </c>
      <c r="C356" s="7">
        <v>2047.69838344236</v>
      </c>
    </row>
    <row r="357" spans="2:3" x14ac:dyDescent="0.25">
      <c r="B357" t="str">
        <f>IF('Data Kumpulan'!B362=1,"Perkotaan","Pedesaan")</f>
        <v>Pedesaan</v>
      </c>
      <c r="C357" s="7">
        <v>408.26594079071401</v>
      </c>
    </row>
    <row r="358" spans="2:3" x14ac:dyDescent="0.25">
      <c r="B358" t="str">
        <f>IF('Data Kumpulan'!B363=1,"Perkotaan","Pedesaan")</f>
        <v>Pedesaan</v>
      </c>
      <c r="C358" s="7">
        <v>177.54965676251001</v>
      </c>
    </row>
    <row r="359" spans="2:3" x14ac:dyDescent="0.25">
      <c r="B359" t="str">
        <f>IF('Data Kumpulan'!B364=1,"Perkotaan","Pedesaan")</f>
        <v>Pedesaan</v>
      </c>
      <c r="C359" s="7">
        <v>1268.93205922484</v>
      </c>
    </row>
    <row r="360" spans="2:3" x14ac:dyDescent="0.25">
      <c r="B360" t="str">
        <f>IF('Data Kumpulan'!B365=1,"Perkotaan","Pedesaan")</f>
        <v>Pedesaan</v>
      </c>
      <c r="C360" s="7">
        <v>139.497577622188</v>
      </c>
    </row>
    <row r="361" spans="2:3" x14ac:dyDescent="0.25">
      <c r="B361" t="str">
        <f>IF('Data Kumpulan'!B366=1,"Perkotaan","Pedesaan")</f>
        <v>Pedesaan</v>
      </c>
      <c r="C361" s="7">
        <v>25.615953431513201</v>
      </c>
    </row>
    <row r="362" spans="2:3" x14ac:dyDescent="0.25">
      <c r="B362" t="str">
        <f>IF('Data Kumpulan'!B367=1,"Perkotaan","Pedesaan")</f>
        <v>Perkotaan</v>
      </c>
      <c r="C362" s="7">
        <v>605.42959115962606</v>
      </c>
    </row>
    <row r="363" spans="2:3" x14ac:dyDescent="0.25">
      <c r="B363" t="str">
        <f>IF('Data Kumpulan'!B368=1,"Perkotaan","Pedesaan")</f>
        <v>Perkotaan</v>
      </c>
      <c r="C363" s="7">
        <v>907.70219608981301</v>
      </c>
    </row>
    <row r="364" spans="2:3" x14ac:dyDescent="0.25">
      <c r="B364" t="str">
        <f>IF('Data Kumpulan'!B369=1,"Perkotaan","Pedesaan")</f>
        <v>Perkotaan</v>
      </c>
      <c r="C364" s="7">
        <v>150.997832010005</v>
      </c>
    </row>
    <row r="365" spans="2:3" x14ac:dyDescent="0.25">
      <c r="B365" t="str">
        <f>IF('Data Kumpulan'!B370=1,"Perkotaan","Pedesaan")</f>
        <v>Perkotaan</v>
      </c>
      <c r="C365" s="7">
        <v>931.96033623870801</v>
      </c>
    </row>
    <row r="366" spans="2:3" x14ac:dyDescent="0.25">
      <c r="B366" t="str">
        <f>IF('Data Kumpulan'!B371=1,"Perkotaan","Pedesaan")</f>
        <v>Perkotaan</v>
      </c>
      <c r="C366" s="7">
        <v>447.673411252807</v>
      </c>
    </row>
    <row r="367" spans="2:3" x14ac:dyDescent="0.25">
      <c r="B367" t="str">
        <f>IF('Data Kumpulan'!B372=1,"Perkotaan","Pedesaan")</f>
        <v>Pedesaan</v>
      </c>
      <c r="C367" s="7">
        <v>426.57190638195601</v>
      </c>
    </row>
    <row r="368" spans="2:3" x14ac:dyDescent="0.25">
      <c r="B368" t="str">
        <f>IF('Data Kumpulan'!B373=1,"Perkotaan","Pedesaan")</f>
        <v>Perkotaan</v>
      </c>
      <c r="C368" s="7">
        <v>2130.6040466656</v>
      </c>
    </row>
    <row r="369" spans="2:3" x14ac:dyDescent="0.25">
      <c r="B369" t="str">
        <f>IF('Data Kumpulan'!B374=1,"Perkotaan","Pedesaan")</f>
        <v>Pedesaan</v>
      </c>
      <c r="C369" s="7">
        <v>1397.3367433108999</v>
      </c>
    </row>
    <row r="370" spans="2:3" x14ac:dyDescent="0.25">
      <c r="B370" t="str">
        <f>IF('Data Kumpulan'!B375=1,"Perkotaan","Pedesaan")</f>
        <v>Perkotaan</v>
      </c>
      <c r="C370" s="7">
        <v>973.89026057347303</v>
      </c>
    </row>
    <row r="371" spans="2:3" x14ac:dyDescent="0.25">
      <c r="B371" t="str">
        <f>IF('Data Kumpulan'!B376=1,"Perkotaan","Pedesaan")</f>
        <v>Perkotaan</v>
      </c>
      <c r="C371" s="7">
        <v>561.79502603100502</v>
      </c>
    </row>
    <row r="372" spans="2:3" x14ac:dyDescent="0.25">
      <c r="B372" t="str">
        <f>IF('Data Kumpulan'!B377=1,"Perkotaan","Pedesaan")</f>
        <v>Perkotaan</v>
      </c>
      <c r="C372" s="7">
        <v>933.03767171997401</v>
      </c>
    </row>
    <row r="373" spans="2:3" x14ac:dyDescent="0.25">
      <c r="B373" t="str">
        <f>IF('Data Kumpulan'!B378=1,"Perkotaan","Pedesaan")</f>
        <v>Perkotaan</v>
      </c>
      <c r="C373" s="7">
        <v>1185.71589750559</v>
      </c>
    </row>
    <row r="374" spans="2:3" x14ac:dyDescent="0.25">
      <c r="B374" t="str">
        <f>IF('Data Kumpulan'!B379=1,"Perkotaan","Pedesaan")</f>
        <v>Pedesaan</v>
      </c>
      <c r="C374" s="7">
        <v>132.14829012805501</v>
      </c>
    </row>
    <row r="375" spans="2:3" x14ac:dyDescent="0.25">
      <c r="B375" t="str">
        <f>IF('Data Kumpulan'!B380=1,"Perkotaan","Pedesaan")</f>
        <v>Perkotaan</v>
      </c>
      <c r="C375" s="7">
        <v>705.16602549160905</v>
      </c>
    </row>
    <row r="376" spans="2:3" x14ac:dyDescent="0.25">
      <c r="B376" t="str">
        <f>IF('Data Kumpulan'!B381=1,"Perkotaan","Pedesaan")</f>
        <v>Perkotaan</v>
      </c>
      <c r="C376" s="7">
        <v>560.02085349783795</v>
      </c>
    </row>
    <row r="377" spans="2:3" x14ac:dyDescent="0.25">
      <c r="B377" t="str">
        <f>IF('Data Kumpulan'!B382=1,"Perkotaan","Pedesaan")</f>
        <v>Perkotaan</v>
      </c>
      <c r="C377" s="7">
        <v>615.41762224722197</v>
      </c>
    </row>
    <row r="378" spans="2:3" x14ac:dyDescent="0.25">
      <c r="B378" t="str">
        <f>IF('Data Kumpulan'!B383=1,"Perkotaan","Pedesaan")</f>
        <v>Perkotaan</v>
      </c>
      <c r="C378" s="7">
        <v>500.52594365650702</v>
      </c>
    </row>
    <row r="379" spans="2:3" x14ac:dyDescent="0.25">
      <c r="B379" t="str">
        <f>IF('Data Kumpulan'!B384=1,"Perkotaan","Pedesaan")</f>
        <v>Pedesaan</v>
      </c>
      <c r="C379" s="7">
        <v>155.21475379418001</v>
      </c>
    </row>
    <row r="380" spans="2:3" x14ac:dyDescent="0.25">
      <c r="B380" t="str">
        <f>IF('Data Kumpulan'!B385=1,"Perkotaan","Pedesaan")</f>
        <v>Pedesaan</v>
      </c>
      <c r="C380" s="7">
        <v>436.03621774008502</v>
      </c>
    </row>
    <row r="381" spans="2:3" x14ac:dyDescent="0.25">
      <c r="B381" t="str">
        <f>IF('Data Kumpulan'!B386=1,"Perkotaan","Pedesaan")</f>
        <v>Perkotaan</v>
      </c>
      <c r="C381" s="7">
        <v>1101.89136662342</v>
      </c>
    </row>
    <row r="382" spans="2:3" x14ac:dyDescent="0.25">
      <c r="B382" t="str">
        <f>IF('Data Kumpulan'!B388=1,"Perkotaan","Pedesaan")</f>
        <v>Pedesaan</v>
      </c>
      <c r="C382" s="7">
        <v>1638.46475064127</v>
      </c>
    </row>
    <row r="383" spans="2:3" x14ac:dyDescent="0.25">
      <c r="B383" t="str">
        <f>IF('Data Kumpulan'!B389=1,"Perkotaan","Pedesaan")</f>
        <v>Perkotaan</v>
      </c>
      <c r="C383" s="7">
        <v>1008.6013630034701</v>
      </c>
    </row>
    <row r="384" spans="2:3" x14ac:dyDescent="0.25">
      <c r="B384" t="str">
        <f>IF('Data Kumpulan'!B390=1,"Perkotaan","Pedesaan")</f>
        <v>Perkotaan</v>
      </c>
      <c r="C384" s="7">
        <v>293.47115054093302</v>
      </c>
    </row>
    <row r="385" spans="2:3" x14ac:dyDescent="0.25">
      <c r="B385" t="str">
        <f>IF('Data Kumpulan'!B391=1,"Perkotaan","Pedesaan")</f>
        <v>Pedesaan</v>
      </c>
      <c r="C385" s="7">
        <v>813.76076877853802</v>
      </c>
    </row>
    <row r="386" spans="2:3" x14ac:dyDescent="0.25">
      <c r="B386" t="str">
        <f>IF('Data Kumpulan'!B392=1,"Perkotaan","Pedesaan")</f>
        <v>Perkotaan</v>
      </c>
      <c r="C386" s="7">
        <v>471.98320525901102</v>
      </c>
    </row>
    <row r="387" spans="2:3" x14ac:dyDescent="0.25">
      <c r="B387" t="str">
        <f>IF('Data Kumpulan'!B393=1,"Perkotaan","Pedesaan")</f>
        <v>Perkotaan</v>
      </c>
      <c r="C387" s="7">
        <v>398.75975220900801</v>
      </c>
    </row>
    <row r="388" spans="2:3" x14ac:dyDescent="0.25">
      <c r="B388" t="str">
        <f>IF('Data Kumpulan'!B394=1,"Perkotaan","Pedesaan")</f>
        <v>Pedesaan</v>
      </c>
      <c r="C388" s="7">
        <v>668.24238368212696</v>
      </c>
    </row>
    <row r="389" spans="2:3" x14ac:dyDescent="0.25">
      <c r="B389" t="str">
        <f>IF('Data Kumpulan'!B395=1,"Perkotaan","Pedesaan")</f>
        <v>Perkotaan</v>
      </c>
      <c r="C389" s="7">
        <v>1033.0651777359999</v>
      </c>
    </row>
    <row r="390" spans="2:3" x14ac:dyDescent="0.25">
      <c r="B390" t="str">
        <f>IF('Data Kumpulan'!B396=1,"Perkotaan","Pedesaan")</f>
        <v>Perkotaan</v>
      </c>
      <c r="C390" s="7">
        <v>1131.2307066839501</v>
      </c>
    </row>
    <row r="391" spans="2:3" x14ac:dyDescent="0.25">
      <c r="B391" t="str">
        <f>IF('Data Kumpulan'!B397=1,"Perkotaan","Pedesaan")</f>
        <v>Perkotaan</v>
      </c>
      <c r="C391" s="7">
        <v>1036.9355069230701</v>
      </c>
    </row>
    <row r="392" spans="2:3" x14ac:dyDescent="0.25">
      <c r="B392" t="str">
        <f>IF('Data Kumpulan'!B398=1,"Perkotaan","Pedesaan")</f>
        <v>Perkotaan</v>
      </c>
      <c r="C392" s="7">
        <v>513.01560550951604</v>
      </c>
    </row>
    <row r="393" spans="2:3" x14ac:dyDescent="0.25">
      <c r="B393" t="str">
        <f>IF('Data Kumpulan'!B399=1,"Perkotaan","Pedesaan")</f>
        <v>Pedesaan</v>
      </c>
      <c r="C393" s="7">
        <v>1703.80629989816</v>
      </c>
    </row>
    <row r="394" spans="2:3" x14ac:dyDescent="0.25">
      <c r="B394" t="str">
        <f>IF('Data Kumpulan'!B400=1,"Perkotaan","Pedesaan")</f>
        <v>Perkotaan</v>
      </c>
      <c r="C394" s="7">
        <v>710.01196456208595</v>
      </c>
    </row>
    <row r="395" spans="2:3" x14ac:dyDescent="0.25">
      <c r="B395" t="str">
        <f>IF('Data Kumpulan'!B401=1,"Perkotaan","Pedesaan")</f>
        <v>Perkotaan</v>
      </c>
      <c r="C395" s="7">
        <v>1084.43082194012</v>
      </c>
    </row>
    <row r="396" spans="2:3" x14ac:dyDescent="0.25">
      <c r="B396" t="str">
        <f>IF('Data Kumpulan'!B402=1,"Perkotaan","Pedesaan")</f>
        <v>Pedesaan</v>
      </c>
      <c r="C396" s="7">
        <v>113.456050372714</v>
      </c>
    </row>
    <row r="397" spans="2:3" x14ac:dyDescent="0.25">
      <c r="B397" t="str">
        <f>IF('Data Kumpulan'!B403=1,"Perkotaan","Pedesaan")</f>
        <v>Perkotaan</v>
      </c>
      <c r="C397" s="7">
        <v>606.78595954234902</v>
      </c>
    </row>
    <row r="398" spans="2:3" x14ac:dyDescent="0.25">
      <c r="B398" t="str">
        <f>IF('Data Kumpulan'!B404=1,"Perkotaan","Pedesaan")</f>
        <v>Pedesaan</v>
      </c>
      <c r="C398" s="7">
        <v>37.2491897693479</v>
      </c>
    </row>
    <row r="399" spans="2:3" x14ac:dyDescent="0.25">
      <c r="B399" t="str">
        <f>IF('Data Kumpulan'!B405=1,"Perkotaan","Pedesaan")</f>
        <v>Perkotaan</v>
      </c>
      <c r="C399" s="7">
        <v>522.51973012954602</v>
      </c>
    </row>
    <row r="400" spans="2:3" x14ac:dyDescent="0.25">
      <c r="B400" t="str">
        <f>IF('Data Kumpulan'!B406=1,"Perkotaan","Pedesaan")</f>
        <v>Pedesaan</v>
      </c>
      <c r="C400" s="7">
        <v>139.497577622188</v>
      </c>
    </row>
    <row r="401" spans="2:3" x14ac:dyDescent="0.25">
      <c r="B401" t="str">
        <f>IF('Data Kumpulan'!B407=1,"Perkotaan","Pedesaan")</f>
        <v>Perkotaan</v>
      </c>
      <c r="C401" s="7">
        <v>1152.5545397352801</v>
      </c>
    </row>
    <row r="402" spans="2:3" x14ac:dyDescent="0.25">
      <c r="B402" t="str">
        <f>IF('Data Kumpulan'!B408=1,"Perkotaan","Pedesaan")</f>
        <v>Perkotaan</v>
      </c>
      <c r="C402" s="7">
        <v>717.50926302998403</v>
      </c>
    </row>
    <row r="403" spans="2:3" x14ac:dyDescent="0.25">
      <c r="B403" t="str">
        <f>IF('Data Kumpulan'!B409=1,"Perkotaan","Pedesaan")</f>
        <v>Pedesaan</v>
      </c>
      <c r="C403" s="7">
        <v>262.76887964049001</v>
      </c>
    </row>
    <row r="404" spans="2:3" x14ac:dyDescent="0.25">
      <c r="B404" t="str">
        <f>IF('Data Kumpulan'!B410=1,"Perkotaan","Pedesaan")</f>
        <v>Perkotaan</v>
      </c>
      <c r="C404" s="7">
        <v>1460.40477641863</v>
      </c>
    </row>
    <row r="405" spans="2:3" x14ac:dyDescent="0.25">
      <c r="B405" t="str">
        <f>IF('Data Kumpulan'!B411=1,"Perkotaan","Pedesaan")</f>
        <v>Perkotaan</v>
      </c>
      <c r="C405" s="7">
        <v>273.71677012094102</v>
      </c>
    </row>
    <row r="406" spans="2:3" x14ac:dyDescent="0.25">
      <c r="B406" t="str">
        <f>IF('Data Kumpulan'!B412=1,"Perkotaan","Pedesaan")</f>
        <v>Pedesaan</v>
      </c>
      <c r="C406" s="7">
        <v>695.23206020434395</v>
      </c>
    </row>
    <row r="407" spans="2:3" x14ac:dyDescent="0.25">
      <c r="B407" t="str">
        <f>IF('Data Kumpulan'!B413=1,"Perkotaan","Pedesaan")</f>
        <v>Pedesaan</v>
      </c>
      <c r="C407" s="7">
        <v>1142.9974608570301</v>
      </c>
    </row>
    <row r="408" spans="2:3" x14ac:dyDescent="0.25">
      <c r="B408" t="str">
        <f>IF('Data Kumpulan'!B414=1,"Perkotaan","Pedesaan")</f>
        <v>Pedesaan</v>
      </c>
      <c r="C408" s="7">
        <v>725.70845493853801</v>
      </c>
    </row>
    <row r="409" spans="2:3" x14ac:dyDescent="0.25">
      <c r="B409" t="str">
        <f>IF('Data Kumpulan'!B415=1,"Perkotaan","Pedesaan")</f>
        <v>Perkotaan</v>
      </c>
      <c r="C409" s="7">
        <v>716.81593296148901</v>
      </c>
    </row>
    <row r="410" spans="2:3" x14ac:dyDescent="0.25">
      <c r="B410" t="str">
        <f>IF('Data Kumpulan'!B416=1,"Perkotaan","Pedesaan")</f>
        <v>Perkotaan</v>
      </c>
      <c r="C410" s="7">
        <v>244.268033646307</v>
      </c>
    </row>
    <row r="411" spans="2:3" x14ac:dyDescent="0.25">
      <c r="B411" t="str">
        <f>IF('Data Kumpulan'!B417=1,"Perkotaan","Pedesaan")</f>
        <v>Pedesaan</v>
      </c>
      <c r="C411" s="7">
        <v>27.0872618069242</v>
      </c>
    </row>
    <row r="412" spans="2:3" x14ac:dyDescent="0.25">
      <c r="B412" t="str">
        <f>IF('Data Kumpulan'!B418=1,"Perkotaan","Pedesaan")</f>
        <v>Pedesaan</v>
      </c>
      <c r="C412" s="7">
        <v>112.909309999694</v>
      </c>
    </row>
    <row r="413" spans="2:3" x14ac:dyDescent="0.25">
      <c r="B413" t="str">
        <f>IF('Data Kumpulan'!B419=1,"Perkotaan","Pedesaan")</f>
        <v>Pedesaan</v>
      </c>
      <c r="C413" s="7">
        <v>456.821330026574</v>
      </c>
    </row>
    <row r="414" spans="2:3" x14ac:dyDescent="0.25">
      <c r="B414" t="str">
        <f>IF('Data Kumpulan'!B420=1,"Perkotaan","Pedesaan")</f>
        <v>Perkotaan</v>
      </c>
      <c r="C414" s="7">
        <v>1283.8565500330701</v>
      </c>
    </row>
    <row r="415" spans="2:3" x14ac:dyDescent="0.25">
      <c r="B415" t="str">
        <f>IF('Data Kumpulan'!B421=1,"Perkotaan","Pedesaan")</f>
        <v>Perkotaan</v>
      </c>
      <c r="C415" s="7">
        <v>493.37101552489702</v>
      </c>
    </row>
    <row r="416" spans="2:3" x14ac:dyDescent="0.25">
      <c r="B416" t="str">
        <f>IF('Data Kumpulan'!B422=1,"Perkotaan","Pedesaan")</f>
        <v>Pedesaan</v>
      </c>
      <c r="C416" s="7">
        <v>107.32723124625301</v>
      </c>
    </row>
    <row r="417" spans="2:3" x14ac:dyDescent="0.25">
      <c r="B417" t="str">
        <f>IF('Data Kumpulan'!B423=1,"Perkotaan","Pedesaan")</f>
        <v>Pedesaan</v>
      </c>
      <c r="C417" s="7">
        <v>39.159630225528097</v>
      </c>
    </row>
    <row r="418" spans="2:3" x14ac:dyDescent="0.25">
      <c r="B418" t="str">
        <f>IF('Data Kumpulan'!B424=1,"Perkotaan","Pedesaan")</f>
        <v>Pedesaan</v>
      </c>
      <c r="C418" s="7">
        <v>30.9772424276041</v>
      </c>
    </row>
    <row r="419" spans="2:3" x14ac:dyDescent="0.25">
      <c r="B419" t="str">
        <f>IF('Data Kumpulan'!B425=1,"Perkotaan","Pedesaan")</f>
        <v>Perkotaan</v>
      </c>
      <c r="C419" s="7">
        <v>710.54277217260994</v>
      </c>
    </row>
    <row r="420" spans="2:3" x14ac:dyDescent="0.25">
      <c r="B420" t="str">
        <f>IF('Data Kumpulan'!B426=1,"Perkotaan","Pedesaan")</f>
        <v>Perkotaan</v>
      </c>
      <c r="C420" s="7">
        <v>753.11456736545802</v>
      </c>
    </row>
    <row r="421" spans="2:3" x14ac:dyDescent="0.25">
      <c r="B421" t="str">
        <f>IF('Data Kumpulan'!B427=1,"Perkotaan","Pedesaan")</f>
        <v>Pedesaan</v>
      </c>
      <c r="C421" s="7">
        <v>667.74736908404395</v>
      </c>
    </row>
    <row r="422" spans="2:3" x14ac:dyDescent="0.25">
      <c r="B422" t="str">
        <f>IF('Data Kumpulan'!B428=1,"Perkotaan","Pedesaan")</f>
        <v>Perkotaan</v>
      </c>
      <c r="C422" s="7">
        <v>1219.5036803913599</v>
      </c>
    </row>
    <row r="423" spans="2:3" x14ac:dyDescent="0.25">
      <c r="B423" t="str">
        <f>IF('Data Kumpulan'!B429=1,"Perkotaan","Pedesaan")</f>
        <v>Pedesaan</v>
      </c>
      <c r="C423" s="7">
        <v>357.38738135043201</v>
      </c>
    </row>
    <row r="424" spans="2:3" x14ac:dyDescent="0.25">
      <c r="B424" t="str">
        <f>IF('Data Kumpulan'!B430=1,"Perkotaan","Pedesaan")</f>
        <v>Perkotaan</v>
      </c>
      <c r="C424" s="7">
        <v>355.83180115722303</v>
      </c>
    </row>
    <row r="425" spans="2:3" x14ac:dyDescent="0.25">
      <c r="B425" t="str">
        <f>IF('Data Kumpulan'!B431=1,"Perkotaan","Pedesaan")</f>
        <v>Perkotaan</v>
      </c>
      <c r="C425" s="7">
        <v>722.76842691567595</v>
      </c>
    </row>
    <row r="426" spans="2:3" x14ac:dyDescent="0.25">
      <c r="B426" t="str">
        <f>IF('Data Kumpulan'!B432=1,"Perkotaan","Pedesaan")</f>
        <v>Pedesaan</v>
      </c>
      <c r="C426" s="7">
        <v>158.490781806717</v>
      </c>
    </row>
    <row r="427" spans="2:3" x14ac:dyDescent="0.25">
      <c r="B427" t="str">
        <f>IF('Data Kumpulan'!B433=1,"Perkotaan","Pedesaan")</f>
        <v>Pedesaan</v>
      </c>
      <c r="C427" s="7">
        <v>81.439302073063502</v>
      </c>
    </row>
    <row r="428" spans="2:3" x14ac:dyDescent="0.25">
      <c r="B428" t="str">
        <f>IF('Data Kumpulan'!B434=1,"Perkotaan","Pedesaan")</f>
        <v>Perkotaan</v>
      </c>
      <c r="C428" s="7">
        <v>620.89356554051096</v>
      </c>
    </row>
    <row r="429" spans="2:3" x14ac:dyDescent="0.25">
      <c r="B429" t="str">
        <f>IF('Data Kumpulan'!B435=1,"Perkotaan","Pedesaan")</f>
        <v>Perkotaan</v>
      </c>
      <c r="C429" s="7">
        <v>584.28081171940903</v>
      </c>
    </row>
    <row r="430" spans="2:3" x14ac:dyDescent="0.25">
      <c r="B430" t="str">
        <f>IF('Data Kumpulan'!B436=1,"Perkotaan","Pedesaan")</f>
        <v>Pedesaan</v>
      </c>
      <c r="C430" s="7">
        <v>439.80343666629301</v>
      </c>
    </row>
    <row r="431" spans="2:3" x14ac:dyDescent="0.25">
      <c r="B431" t="str">
        <f>IF('Data Kumpulan'!B437=1,"Perkotaan","Pedesaan")</f>
        <v>Pedesaan</v>
      </c>
      <c r="C431" s="7">
        <v>117.586741834316</v>
      </c>
    </row>
    <row r="432" spans="2:3" x14ac:dyDescent="0.25">
      <c r="B432" t="str">
        <f>IF('Data Kumpulan'!B438=1,"Perkotaan","Pedesaan")</f>
        <v>Pedesaan</v>
      </c>
      <c r="C432" s="7">
        <v>276.40448244829201</v>
      </c>
    </row>
    <row r="433" spans="2:3" x14ac:dyDescent="0.25">
      <c r="B433" t="str">
        <f>IF('Data Kumpulan'!B439=1,"Perkotaan","Pedesaan")</f>
        <v>Pedesaan</v>
      </c>
      <c r="C433" s="7">
        <v>777.40611994211395</v>
      </c>
    </row>
    <row r="434" spans="2:3" x14ac:dyDescent="0.25">
      <c r="B434" t="str">
        <f>IF('Data Kumpulan'!B440=1,"Perkotaan","Pedesaan")</f>
        <v>Perkotaan</v>
      </c>
      <c r="C434" s="7">
        <v>498.01887808298602</v>
      </c>
    </row>
    <row r="435" spans="2:3" x14ac:dyDescent="0.25">
      <c r="B435" t="str">
        <f>IF('Data Kumpulan'!B441=1,"Perkotaan","Pedesaan")</f>
        <v>Pedesaan</v>
      </c>
      <c r="C435" s="7">
        <v>116.80355721589601</v>
      </c>
    </row>
    <row r="436" spans="2:3" x14ac:dyDescent="0.25">
      <c r="B436" t="str">
        <f>IF('Data Kumpulan'!B442=1,"Perkotaan","Pedesaan")</f>
        <v>Perkotaan</v>
      </c>
      <c r="C436" s="7">
        <v>756.23208075591003</v>
      </c>
    </row>
    <row r="437" spans="2:3" x14ac:dyDescent="0.25">
      <c r="B437" t="str">
        <f>IF('Data Kumpulan'!B443=1,"Perkotaan","Pedesaan")</f>
        <v>Perkotaan</v>
      </c>
      <c r="C437" s="7">
        <v>511.452232340004</v>
      </c>
    </row>
    <row r="438" spans="2:3" x14ac:dyDescent="0.25">
      <c r="B438" t="str">
        <f>IF('Data Kumpulan'!B444=1,"Perkotaan","Pedesaan")</f>
        <v>Perkotaan</v>
      </c>
      <c r="C438" s="7">
        <v>989.85869530277796</v>
      </c>
    </row>
    <row r="439" spans="2:3" x14ac:dyDescent="0.25">
      <c r="B439" t="str">
        <f>IF('Data Kumpulan'!B445=1,"Perkotaan","Pedesaan")</f>
        <v>Perkotaan</v>
      </c>
      <c r="C439" s="7">
        <v>644.05670319498597</v>
      </c>
    </row>
    <row r="440" spans="2:3" x14ac:dyDescent="0.25">
      <c r="B440" t="str">
        <f>IF('Data Kumpulan'!B446=1,"Perkotaan","Pedesaan")</f>
        <v>Perkotaan</v>
      </c>
      <c r="C440" s="7">
        <v>189.48054333653999</v>
      </c>
    </row>
    <row r="441" spans="2:3" x14ac:dyDescent="0.25">
      <c r="B441" t="str">
        <f>IF('Data Kumpulan'!B447=1,"Perkotaan","Pedesaan")</f>
        <v>Pedesaan</v>
      </c>
      <c r="C441" s="7">
        <v>26.545162608176401</v>
      </c>
    </row>
    <row r="442" spans="2:3" x14ac:dyDescent="0.25">
      <c r="B442" t="str">
        <f>IF('Data Kumpulan'!B448=1,"Perkotaan","Pedesaan")</f>
        <v>Perkotaan</v>
      </c>
      <c r="C442" s="7">
        <v>88.235907196628403</v>
      </c>
    </row>
    <row r="443" spans="2:3" x14ac:dyDescent="0.25">
      <c r="B443" t="str">
        <f>IF('Data Kumpulan'!B449=1,"Perkotaan","Pedesaan")</f>
        <v>Perkotaan</v>
      </c>
      <c r="C443" s="7">
        <v>718.16747837706703</v>
      </c>
    </row>
    <row r="444" spans="2:3" x14ac:dyDescent="0.25">
      <c r="B444" t="str">
        <f>IF('Data Kumpulan'!B450=1,"Perkotaan","Pedesaan")</f>
        <v>Pedesaan</v>
      </c>
      <c r="C444" s="7">
        <v>148.626491322725</v>
      </c>
    </row>
    <row r="445" spans="2:3" x14ac:dyDescent="0.25">
      <c r="B445" t="str">
        <f>IF('Data Kumpulan'!B451=1,"Perkotaan","Pedesaan")</f>
        <v>Perkotaan</v>
      </c>
      <c r="C445" s="7">
        <v>756.13362417812402</v>
      </c>
    </row>
    <row r="446" spans="2:3" x14ac:dyDescent="0.25">
      <c r="B446" t="str">
        <f>IF('Data Kumpulan'!B452=1,"Perkotaan","Pedesaan")</f>
        <v>Pedesaan</v>
      </c>
      <c r="C446" s="7">
        <v>99.536332510798402</v>
      </c>
    </row>
    <row r="447" spans="2:3" x14ac:dyDescent="0.25">
      <c r="B447" t="str">
        <f>IF('Data Kumpulan'!B453=1,"Perkotaan","Pedesaan")</f>
        <v>Perkotaan</v>
      </c>
      <c r="C447" s="7">
        <v>727.56783875745805</v>
      </c>
    </row>
    <row r="448" spans="2:3" x14ac:dyDescent="0.25">
      <c r="B448" t="str">
        <f>IF('Data Kumpulan'!B454=1,"Perkotaan","Pedesaan")</f>
        <v>Pedesaan</v>
      </c>
      <c r="C448" s="7">
        <v>213.86800516427999</v>
      </c>
    </row>
    <row r="449" spans="2:3" x14ac:dyDescent="0.25">
      <c r="B449" t="str">
        <f>IF('Data Kumpulan'!B455=1,"Perkotaan","Pedesaan")</f>
        <v>Pedesaan</v>
      </c>
      <c r="C449" s="7">
        <v>90.332630532060193</v>
      </c>
    </row>
    <row r="450" spans="2:3" x14ac:dyDescent="0.25">
      <c r="B450" t="str">
        <f>IF('Data Kumpulan'!B456=1,"Perkotaan","Pedesaan")</f>
        <v>Perkotaan</v>
      </c>
      <c r="C450" s="7">
        <v>905.689719933643</v>
      </c>
    </row>
    <row r="451" spans="2:3" x14ac:dyDescent="0.25">
      <c r="B451" t="str">
        <f>IF('Data Kumpulan'!B457=1,"Perkotaan","Pedesaan")</f>
        <v>Perkotaan</v>
      </c>
      <c r="C451" s="7">
        <v>515.79057114654597</v>
      </c>
    </row>
    <row r="452" spans="2:3" x14ac:dyDescent="0.25">
      <c r="B452" t="str">
        <f>IF('Data Kumpulan'!B458=1,"Perkotaan","Pedesaan")</f>
        <v>Perkotaan</v>
      </c>
      <c r="C452" s="7">
        <v>605.21603769527906</v>
      </c>
    </row>
    <row r="453" spans="2:3" x14ac:dyDescent="0.25">
      <c r="B453" t="str">
        <f>IF('Data Kumpulan'!B459=1,"Perkotaan","Pedesaan")</f>
        <v>Pedesaan</v>
      </c>
      <c r="C453" s="7">
        <v>557.14334991674502</v>
      </c>
    </row>
    <row r="454" spans="2:3" x14ac:dyDescent="0.25">
      <c r="B454" t="str">
        <f>IF('Data Kumpulan'!B460=1,"Perkotaan","Pedesaan")</f>
        <v>Pedesaan</v>
      </c>
      <c r="C454" s="7">
        <v>518.91191453277895</v>
      </c>
    </row>
    <row r="455" spans="2:3" x14ac:dyDescent="0.25">
      <c r="B455" t="str">
        <f>IF('Data Kumpulan'!B461=1,"Perkotaan","Pedesaan")</f>
        <v>Pedesaan</v>
      </c>
      <c r="C455" s="7">
        <v>21.532250710547199</v>
      </c>
    </row>
    <row r="456" spans="2:3" x14ac:dyDescent="0.25">
      <c r="B456" t="str">
        <f>IF('Data Kumpulan'!B462=1,"Perkotaan","Pedesaan")</f>
        <v>Pedesaan</v>
      </c>
      <c r="C456" s="7">
        <v>175.59262953142701</v>
      </c>
    </row>
    <row r="457" spans="2:3" x14ac:dyDescent="0.25">
      <c r="B457" t="str">
        <f>IF('Data Kumpulan'!B463=1,"Perkotaan","Pedesaan")</f>
        <v>Pedesaan</v>
      </c>
      <c r="C457" s="7">
        <v>772.81300165456605</v>
      </c>
    </row>
    <row r="458" spans="2:3" x14ac:dyDescent="0.25">
      <c r="B458" t="str">
        <f>IF('Data Kumpulan'!B464=1,"Perkotaan","Pedesaan")</f>
        <v>Pedesaan</v>
      </c>
      <c r="C458" s="7">
        <v>160.45249610990601</v>
      </c>
    </row>
    <row r="459" spans="2:3" x14ac:dyDescent="0.25">
      <c r="B459" t="str">
        <f>IF('Data Kumpulan'!B465=1,"Perkotaan","Pedesaan")</f>
        <v>Perkotaan</v>
      </c>
      <c r="C459" s="7">
        <v>529.03364547757803</v>
      </c>
    </row>
    <row r="460" spans="2:3" x14ac:dyDescent="0.25">
      <c r="B460" t="str">
        <f>IF('Data Kumpulan'!B466=1,"Perkotaan","Pedesaan")</f>
        <v>Pedesaan</v>
      </c>
      <c r="C460" s="7">
        <v>1603.96087426656</v>
      </c>
    </row>
    <row r="461" spans="2:3" x14ac:dyDescent="0.25">
      <c r="B461" t="str">
        <f>IF('Data Kumpulan'!B467=1,"Perkotaan","Pedesaan")</f>
        <v>Pedesaan</v>
      </c>
      <c r="C461" s="7">
        <v>221.097891214421</v>
      </c>
    </row>
    <row r="462" spans="2:3" x14ac:dyDescent="0.25">
      <c r="B462" t="str">
        <f>IF('Data Kumpulan'!B468=1,"Perkotaan","Pedesaan")</f>
        <v>Pedesaan</v>
      </c>
      <c r="C462" s="7">
        <v>811.13002983621095</v>
      </c>
    </row>
    <row r="463" spans="2:3" x14ac:dyDescent="0.25">
      <c r="B463" t="str">
        <f>IF('Data Kumpulan'!B469=1,"Perkotaan","Pedesaan")</f>
        <v>Pedesaan</v>
      </c>
      <c r="C463" s="7">
        <v>947.54188726698305</v>
      </c>
    </row>
    <row r="464" spans="2:3" x14ac:dyDescent="0.25">
      <c r="B464" t="str">
        <f>IF('Data Kumpulan'!B470=1,"Perkotaan","Pedesaan")</f>
        <v>Pedesaan</v>
      </c>
      <c r="C464" s="7">
        <v>742.89280823716695</v>
      </c>
    </row>
    <row r="465" spans="2:3" x14ac:dyDescent="0.25">
      <c r="B465" t="str">
        <f>IF('Data Kumpulan'!B471=1,"Perkotaan","Pedesaan")</f>
        <v>Pedesaan</v>
      </c>
      <c r="C465" s="7">
        <v>555.47336086809105</v>
      </c>
    </row>
    <row r="466" spans="2:3" x14ac:dyDescent="0.25">
      <c r="B466" t="str">
        <f>IF('Data Kumpulan'!B472=1,"Perkotaan","Pedesaan")</f>
        <v>Pedesaan</v>
      </c>
      <c r="C466" s="7">
        <v>687.57213006323695</v>
      </c>
    </row>
    <row r="467" spans="2:3" x14ac:dyDescent="0.25">
      <c r="B467" t="str">
        <f>IF('Data Kumpulan'!B473=1,"Perkotaan","Pedesaan")</f>
        <v>Pedesaan</v>
      </c>
      <c r="C467" s="7">
        <v>586.27239671279006</v>
      </c>
    </row>
    <row r="468" spans="2:3" x14ac:dyDescent="0.25">
      <c r="B468" t="str">
        <f>IF('Data Kumpulan'!B474=1,"Perkotaan","Pedesaan")</f>
        <v>Pedesaan</v>
      </c>
      <c r="C468" s="7">
        <v>559.84501393937603</v>
      </c>
    </row>
    <row r="469" spans="2:3" x14ac:dyDescent="0.25">
      <c r="B469" t="str">
        <f>IF('Data Kumpulan'!B475=1,"Perkotaan","Pedesaan")</f>
        <v>Pedesaan</v>
      </c>
      <c r="C469" s="7">
        <v>187.92075105198001</v>
      </c>
    </row>
    <row r="470" spans="2:3" x14ac:dyDescent="0.25">
      <c r="B470" t="str">
        <f>IF('Data Kumpulan'!B476=1,"Perkotaan","Pedesaan")</f>
        <v>Perkotaan</v>
      </c>
      <c r="C470" s="7">
        <v>834.51213429967697</v>
      </c>
    </row>
    <row r="471" spans="2:3" x14ac:dyDescent="0.25">
      <c r="B471" t="str">
        <f>IF('Data Kumpulan'!B477=1,"Perkotaan","Pedesaan")</f>
        <v>Pedesaan</v>
      </c>
      <c r="C471" s="7">
        <v>452.93932413813701</v>
      </c>
    </row>
    <row r="472" spans="2:3" x14ac:dyDescent="0.25">
      <c r="B472" t="str">
        <f>IF('Data Kumpulan'!B478=1,"Perkotaan","Pedesaan")</f>
        <v>Perkotaan</v>
      </c>
      <c r="C472" s="7">
        <v>658.02886057221201</v>
      </c>
    </row>
    <row r="473" spans="2:3" x14ac:dyDescent="0.25">
      <c r="B473" t="str">
        <f>IF('Data Kumpulan'!B479=1,"Perkotaan","Pedesaan")</f>
        <v>Pedesaan</v>
      </c>
      <c r="C473" s="7">
        <v>1262.3923003673101</v>
      </c>
    </row>
    <row r="474" spans="2:3" x14ac:dyDescent="0.25">
      <c r="B474" t="str">
        <f>IF('Data Kumpulan'!B480=1,"Perkotaan","Pedesaan")</f>
        <v>Pedesaan</v>
      </c>
      <c r="C474" s="7">
        <v>27.394461742699999</v>
      </c>
    </row>
    <row r="475" spans="2:3" x14ac:dyDescent="0.25">
      <c r="B475" t="str">
        <f>IF('Data Kumpulan'!B481=1,"Perkotaan","Pedesaan")</f>
        <v>Pedesaan</v>
      </c>
      <c r="C475" s="7">
        <v>967.82853803509602</v>
      </c>
    </row>
    <row r="476" spans="2:3" x14ac:dyDescent="0.25">
      <c r="B476" t="str">
        <f>IF('Data Kumpulan'!B482=1,"Perkotaan","Pedesaan")</f>
        <v>Perkotaan</v>
      </c>
      <c r="C476" s="7">
        <v>638.27312522427701</v>
      </c>
    </row>
    <row r="477" spans="2:3" x14ac:dyDescent="0.25">
      <c r="B477" t="str">
        <f>IF('Data Kumpulan'!B483=1,"Perkotaan","Pedesaan")</f>
        <v>Perkotaan</v>
      </c>
      <c r="C477" s="7">
        <v>807.17068633816302</v>
      </c>
    </row>
    <row r="478" spans="2:3" x14ac:dyDescent="0.25">
      <c r="B478" t="str">
        <f>IF('Data Kumpulan'!B484=1,"Perkotaan","Pedesaan")</f>
        <v>Pedesaan</v>
      </c>
      <c r="C478" s="7">
        <v>264.36879852294601</v>
      </c>
    </row>
    <row r="479" spans="2:3" x14ac:dyDescent="0.25">
      <c r="B479" t="str">
        <f>IF('Data Kumpulan'!B485=1,"Perkotaan","Pedesaan")</f>
        <v>Pedesaan</v>
      </c>
      <c r="C479" s="7">
        <v>187.688690289459</v>
      </c>
    </row>
    <row r="480" spans="2:3" x14ac:dyDescent="0.25">
      <c r="B480" t="str">
        <f>IF('Data Kumpulan'!B486=1,"Perkotaan","Pedesaan")</f>
        <v>Perkotaan</v>
      </c>
      <c r="C480" s="7">
        <v>1342.0709141052</v>
      </c>
    </row>
    <row r="481" spans="2:3" x14ac:dyDescent="0.25">
      <c r="B481" t="str">
        <f>IF('Data Kumpulan'!B487=1,"Perkotaan","Pedesaan")</f>
        <v>Perkotaan</v>
      </c>
      <c r="C481" s="7">
        <v>520.46465015749095</v>
      </c>
    </row>
    <row r="482" spans="2:3" x14ac:dyDescent="0.25">
      <c r="B482" t="str">
        <f>IF('Data Kumpulan'!B488=1,"Perkotaan","Pedesaan")</f>
        <v>Pedesaan</v>
      </c>
      <c r="C482" s="7">
        <v>762.85025242496101</v>
      </c>
    </row>
    <row r="483" spans="2:3" x14ac:dyDescent="0.25">
      <c r="B483" t="str">
        <f>IF('Data Kumpulan'!B489=1,"Perkotaan","Pedesaan")</f>
        <v>Pedesaan</v>
      </c>
      <c r="C483" s="7">
        <v>709.05933472646404</v>
      </c>
    </row>
    <row r="484" spans="2:3" x14ac:dyDescent="0.25">
      <c r="B484" t="str">
        <f>IF('Data Kumpulan'!B490=1,"Perkotaan","Pedesaan")</f>
        <v>Perkotaan</v>
      </c>
      <c r="C484" s="7">
        <v>855.85094747626101</v>
      </c>
    </row>
    <row r="485" spans="2:3" x14ac:dyDescent="0.25">
      <c r="B485" t="str">
        <f>IF('Data Kumpulan'!B491=1,"Perkotaan","Pedesaan")</f>
        <v>Pedesaan</v>
      </c>
      <c r="C485" s="7">
        <v>428.11036168920702</v>
      </c>
    </row>
    <row r="486" spans="2:3" x14ac:dyDescent="0.25">
      <c r="B486" t="str">
        <f>IF('Data Kumpulan'!B492=1,"Perkotaan","Pedesaan")</f>
        <v>Pedesaan</v>
      </c>
      <c r="C486" s="7">
        <v>470.441419425454</v>
      </c>
    </row>
    <row r="487" spans="2:3" x14ac:dyDescent="0.25">
      <c r="B487" t="str">
        <f>IF('Data Kumpulan'!B493=1,"Perkotaan","Pedesaan")</f>
        <v>Pedesaan</v>
      </c>
      <c r="C487" s="7">
        <v>97.304405648039705</v>
      </c>
    </row>
    <row r="488" spans="2:3" x14ac:dyDescent="0.25">
      <c r="B488" t="str">
        <f>IF('Data Kumpulan'!B494=1,"Perkotaan","Pedesaan")</f>
        <v>Perkotaan</v>
      </c>
      <c r="C488" s="7">
        <v>172.51211704432299</v>
      </c>
    </row>
    <row r="489" spans="2:3" x14ac:dyDescent="0.25">
      <c r="B489" t="str">
        <f>IF('Data Kumpulan'!B495=1,"Perkotaan","Pedesaan")</f>
        <v>Pedesaan</v>
      </c>
      <c r="C489" s="7">
        <v>194.80184457180201</v>
      </c>
    </row>
    <row r="490" spans="2:3" x14ac:dyDescent="0.25">
      <c r="B490" t="str">
        <f>IF('Data Kumpulan'!B496=1,"Perkotaan","Pedesaan")</f>
        <v>Pedesaan</v>
      </c>
      <c r="C490" s="7">
        <v>298.32511686266702</v>
      </c>
    </row>
    <row r="491" spans="2:3" x14ac:dyDescent="0.25">
      <c r="B491" t="str">
        <f>IF('Data Kumpulan'!B497=1,"Perkotaan","Pedesaan")</f>
        <v>Perkotaan</v>
      </c>
      <c r="C491" s="7">
        <v>851.22092693161403</v>
      </c>
    </row>
    <row r="492" spans="2:3" x14ac:dyDescent="0.25">
      <c r="B492" t="str">
        <f>IF('Data Kumpulan'!B498=1,"Perkotaan","Pedesaan")</f>
        <v>Perkotaan</v>
      </c>
      <c r="C492" s="7">
        <v>550.08321648673802</v>
      </c>
    </row>
    <row r="493" spans="2:3" x14ac:dyDescent="0.25">
      <c r="B493" t="str">
        <f>IF('Data Kumpulan'!B499=1,"Perkotaan","Pedesaan")</f>
        <v>Perkotaan</v>
      </c>
      <c r="C493" s="7">
        <v>697.92341439880795</v>
      </c>
    </row>
    <row r="494" spans="2:3" x14ac:dyDescent="0.25">
      <c r="B494" t="str">
        <f>IF('Data Kumpulan'!B500=1,"Perkotaan","Pedesaan")</f>
        <v>Pedesaan</v>
      </c>
      <c r="C494" s="7">
        <v>801.53305256602403</v>
      </c>
    </row>
    <row r="495" spans="2:3" x14ac:dyDescent="0.25">
      <c r="B495" t="str">
        <f>IF('Data Kumpulan'!B501=1,"Perkotaan","Pedesaan")</f>
        <v>Pedesaan</v>
      </c>
      <c r="C495" s="7">
        <v>313.92837519834001</v>
      </c>
    </row>
    <row r="496" spans="2:3" x14ac:dyDescent="0.25">
      <c r="B496" t="str">
        <f>IF('Data Kumpulan'!B502=1,"Perkotaan","Pedesaan")</f>
        <v>Perkotaan</v>
      </c>
      <c r="C496" s="7">
        <v>926.08703295267605</v>
      </c>
    </row>
    <row r="497" spans="2:3" x14ac:dyDescent="0.25">
      <c r="B497" t="str">
        <f>IF('Data Kumpulan'!B503=1,"Perkotaan","Pedesaan")</f>
        <v>Perkotaan</v>
      </c>
      <c r="C497" s="7">
        <v>709.998595373743</v>
      </c>
    </row>
    <row r="498" spans="2:3" x14ac:dyDescent="0.25">
      <c r="B498" t="str">
        <f>IF('Data Kumpulan'!B504=1,"Perkotaan","Pedesaan")</f>
        <v>Perkotaan</v>
      </c>
      <c r="C498" s="7">
        <v>1000.4314364243201</v>
      </c>
    </row>
    <row r="499" spans="2:3" x14ac:dyDescent="0.25">
      <c r="B499" t="str">
        <f>IF('Data Kumpulan'!B505=1,"Perkotaan","Pedesaan")</f>
        <v>Perkotaan</v>
      </c>
      <c r="C499" s="7">
        <v>574.59663752889105</v>
      </c>
    </row>
    <row r="500" spans="2:3" x14ac:dyDescent="0.25">
      <c r="B500" t="str">
        <f>IF('Data Kumpulan'!B506=1,"Perkotaan","Pedesaan")</f>
        <v>Pedesaan</v>
      </c>
      <c r="C500" s="7">
        <v>415.13171259767302</v>
      </c>
    </row>
    <row r="501" spans="2:3" x14ac:dyDescent="0.25">
      <c r="B501" t="str">
        <f>IF('Data Kumpulan'!B507=1,"Perkotaan","Pedesaan")</f>
        <v>Pedesaan</v>
      </c>
      <c r="C501" s="7">
        <v>752.937526599183</v>
      </c>
    </row>
    <row r="502" spans="2:3" x14ac:dyDescent="0.25">
      <c r="B502" t="str">
        <f>IF('Data Kumpulan'!B508=1,"Perkotaan","Pedesaan")</f>
        <v>Pedesaan</v>
      </c>
      <c r="C502" s="7">
        <v>833.56411460500703</v>
      </c>
    </row>
    <row r="503" spans="2:3" x14ac:dyDescent="0.25">
      <c r="B503" t="str">
        <f>IF('Data Kumpulan'!B509=1,"Perkotaan","Pedesaan")</f>
        <v>Perkotaan</v>
      </c>
      <c r="C503" s="7">
        <v>1381.1152534062701</v>
      </c>
    </row>
    <row r="504" spans="2:3" x14ac:dyDescent="0.25">
      <c r="B504" t="str">
        <f>IF('Data Kumpulan'!B510=1,"Perkotaan","Pedesaan")</f>
        <v>Perkotaan</v>
      </c>
      <c r="C504" s="7">
        <v>1512.9940722680799</v>
      </c>
    </row>
    <row r="505" spans="2:3" x14ac:dyDescent="0.25">
      <c r="B505" t="str">
        <f>IF('Data Kumpulan'!B511=1,"Perkotaan","Pedesaan")</f>
        <v>Pedesaan</v>
      </c>
      <c r="C505" s="7">
        <v>807.24966614967002</v>
      </c>
    </row>
    <row r="506" spans="2:3" x14ac:dyDescent="0.25">
      <c r="B506" t="str">
        <f>IF('Data Kumpulan'!B513=1,"Perkotaan","Pedesaan")</f>
        <v>Pedesaan</v>
      </c>
      <c r="C506" s="7">
        <v>793.54915762020596</v>
      </c>
    </row>
    <row r="507" spans="2:3" x14ac:dyDescent="0.25">
      <c r="B507" t="str">
        <f>IF('Data Kumpulan'!B514=1,"Perkotaan","Pedesaan")</f>
        <v>Perkotaan</v>
      </c>
      <c r="C507" s="7">
        <v>757.96765654580395</v>
      </c>
    </row>
    <row r="508" spans="2:3" x14ac:dyDescent="0.25">
      <c r="B508" t="str">
        <f>IF('Data Kumpulan'!B515=1,"Perkotaan","Pedesaan")</f>
        <v>Perkotaan</v>
      </c>
      <c r="C508" s="7">
        <v>596.30318007470396</v>
      </c>
    </row>
    <row r="509" spans="2:3" x14ac:dyDescent="0.25">
      <c r="B509" t="str">
        <f>IF('Data Kumpulan'!B516=1,"Perkotaan","Pedesaan")</f>
        <v>Pedesaan</v>
      </c>
      <c r="C509" s="7">
        <v>26.9878068724115</v>
      </c>
    </row>
    <row r="510" spans="2:3" x14ac:dyDescent="0.25">
      <c r="B510" t="str">
        <f>IF('Data Kumpulan'!B517=1,"Perkotaan","Pedesaan")</f>
        <v>Perkotaan</v>
      </c>
      <c r="C510" s="7">
        <v>177.997083402502</v>
      </c>
    </row>
    <row r="511" spans="2:3" x14ac:dyDescent="0.25">
      <c r="B511" t="str">
        <f>IF('Data Kumpulan'!B518=1,"Perkotaan","Pedesaan")</f>
        <v>Perkotaan</v>
      </c>
      <c r="C511" s="7">
        <v>570.55256269716597</v>
      </c>
    </row>
    <row r="512" spans="2:3" x14ac:dyDescent="0.25">
      <c r="B512" t="str">
        <f>IF('Data Kumpulan'!B519=1,"Perkotaan","Pedesaan")</f>
        <v>Perkotaan</v>
      </c>
      <c r="C512" s="7">
        <v>425.42655611707602</v>
      </c>
    </row>
    <row r="513" spans="2:3" x14ac:dyDescent="0.25">
      <c r="B513" t="str">
        <f>IF('Data Kumpulan'!B520=1,"Perkotaan","Pedesaan")</f>
        <v>Pedesaan</v>
      </c>
      <c r="C513" s="7">
        <v>26.9878068724115</v>
      </c>
    </row>
    <row r="514" spans="2:3" x14ac:dyDescent="0.25">
      <c r="B514" t="str">
        <f>IF('Data Kumpulan'!B521=1,"Perkotaan","Pedesaan")</f>
        <v>Perkotaan</v>
      </c>
      <c r="C514" s="7">
        <v>786.50832487197704</v>
      </c>
    </row>
    <row r="515" spans="2:3" x14ac:dyDescent="0.25">
      <c r="B515" t="str">
        <f>IF('Data Kumpulan'!B522=1,"Perkotaan","Pedesaan")</f>
        <v>Pedesaan</v>
      </c>
      <c r="C515" s="7">
        <v>294.21130968294102</v>
      </c>
    </row>
    <row r="516" spans="2:3" x14ac:dyDescent="0.25">
      <c r="B516" t="str">
        <f>IF('Data Kumpulan'!B523=1,"Perkotaan","Pedesaan")</f>
        <v>Pedesaan</v>
      </c>
      <c r="C516" s="7">
        <v>261.80408438348297</v>
      </c>
    </row>
    <row r="517" spans="2:3" x14ac:dyDescent="0.25">
      <c r="B517" t="str">
        <f>IF('Data Kumpulan'!B524=1,"Perkotaan","Pedesaan")</f>
        <v>Perkotaan</v>
      </c>
      <c r="C517" s="7">
        <v>1199.9580264506701</v>
      </c>
    </row>
    <row r="518" spans="2:3" x14ac:dyDescent="0.25">
      <c r="B518" t="str">
        <f>IF('Data Kumpulan'!B525=1,"Perkotaan","Pedesaan")</f>
        <v>Pedesaan</v>
      </c>
      <c r="C518" s="7">
        <v>421.15724942900601</v>
      </c>
    </row>
    <row r="519" spans="2:3" x14ac:dyDescent="0.25">
      <c r="B519" t="str">
        <f>IF('Data Kumpulan'!B526=1,"Perkotaan","Pedesaan")</f>
        <v>Perkotaan</v>
      </c>
      <c r="C519" s="7">
        <v>76.489913907124105</v>
      </c>
    </row>
    <row r="520" spans="2:3" x14ac:dyDescent="0.25">
      <c r="B520" t="str">
        <f>IF('Data Kumpulan'!B527=1,"Perkotaan","Pedesaan")</f>
        <v>Perkotaan</v>
      </c>
      <c r="C520" s="7">
        <v>71.508427917374405</v>
      </c>
    </row>
    <row r="521" spans="2:3" x14ac:dyDescent="0.25">
      <c r="B521" t="str">
        <f>IF('Data Kumpulan'!B528=1,"Perkotaan","Pedesaan")</f>
        <v>Pedesaan</v>
      </c>
      <c r="C521" s="7">
        <v>506.889813467517</v>
      </c>
    </row>
    <row r="522" spans="2:3" x14ac:dyDescent="0.25">
      <c r="B522" t="str">
        <f>IF('Data Kumpulan'!B529=1,"Perkotaan","Pedesaan")</f>
        <v>Perkotaan</v>
      </c>
      <c r="C522" s="7">
        <v>533.96136465255404</v>
      </c>
    </row>
    <row r="523" spans="2:3" x14ac:dyDescent="0.25">
      <c r="B523" t="str">
        <f>IF('Data Kumpulan'!B530=1,"Perkotaan","Pedesaan")</f>
        <v>Perkotaan</v>
      </c>
      <c r="C523" s="7">
        <v>554.06367398089503</v>
      </c>
    </row>
    <row r="524" spans="2:3" x14ac:dyDescent="0.25">
      <c r="B524" t="str">
        <f>IF('Data Kumpulan'!B531=1,"Perkotaan","Pedesaan")</f>
        <v>Pedesaan</v>
      </c>
      <c r="C524" s="7">
        <v>32.317664833067703</v>
      </c>
    </row>
    <row r="525" spans="2:3" x14ac:dyDescent="0.25">
      <c r="B525" t="str">
        <f>IF('Data Kumpulan'!B532=1,"Perkotaan","Pedesaan")</f>
        <v>Perkotaan</v>
      </c>
      <c r="C525" s="7">
        <v>132.48515758921201</v>
      </c>
    </row>
    <row r="526" spans="2:3" x14ac:dyDescent="0.25">
      <c r="B526" t="str">
        <f>IF('Data Kumpulan'!B533=1,"Perkotaan","Pedesaan")</f>
        <v>Pedesaan</v>
      </c>
      <c r="C526" s="7">
        <v>254.831449671841</v>
      </c>
    </row>
    <row r="527" spans="2:3" x14ac:dyDescent="0.25">
      <c r="B527" t="str">
        <f>IF('Data Kumpulan'!B534=1,"Perkotaan","Pedesaan")</f>
        <v>Perkotaan</v>
      </c>
      <c r="C527" s="7">
        <v>658.17829461202996</v>
      </c>
    </row>
    <row r="528" spans="2:3" x14ac:dyDescent="0.25">
      <c r="B528" t="str">
        <f>IF('Data Kumpulan'!B535=1,"Perkotaan","Pedesaan")</f>
        <v>Perkotaan</v>
      </c>
      <c r="C528" s="7">
        <v>1017.22238615449</v>
      </c>
    </row>
    <row r="529" spans="2:3" x14ac:dyDescent="0.25">
      <c r="B529" t="str">
        <f>IF('Data Kumpulan'!B536=1,"Perkotaan","Pedesaan")</f>
        <v>Pedesaan</v>
      </c>
      <c r="C529" s="7">
        <v>889.49204674003704</v>
      </c>
    </row>
    <row r="530" spans="2:3" x14ac:dyDescent="0.25">
      <c r="B530" t="str">
        <f>IF('Data Kumpulan'!B537=1,"Perkotaan","Pedesaan")</f>
        <v>Perkotaan</v>
      </c>
      <c r="C530" s="7">
        <v>1062.6379834623699</v>
      </c>
    </row>
    <row r="531" spans="2:3" x14ac:dyDescent="0.25">
      <c r="B531" t="str">
        <f>IF('Data Kumpulan'!B538=1,"Perkotaan","Pedesaan")</f>
        <v>Perkotaan</v>
      </c>
      <c r="C531" s="7">
        <v>602.71278090310295</v>
      </c>
    </row>
    <row r="532" spans="2:3" x14ac:dyDescent="0.25">
      <c r="B532" t="str">
        <f>IF('Data Kumpulan'!B539=1,"Perkotaan","Pedesaan")</f>
        <v>Pedesaan</v>
      </c>
      <c r="C532" s="7">
        <v>242.97882410570901</v>
      </c>
    </row>
    <row r="533" spans="2:3" x14ac:dyDescent="0.25">
      <c r="B533" t="str">
        <f>IF('Data Kumpulan'!B540=1,"Perkotaan","Pedesaan")</f>
        <v>Pedesaan</v>
      </c>
      <c r="C533" s="7">
        <v>25.6874968577748</v>
      </c>
    </row>
    <row r="534" spans="2:3" x14ac:dyDescent="0.25">
      <c r="B534" t="str">
        <f>IF('Data Kumpulan'!B541=1,"Perkotaan","Pedesaan")</f>
        <v>Pedesaan</v>
      </c>
      <c r="C534" s="7">
        <v>659.72973258869104</v>
      </c>
    </row>
    <row r="535" spans="2:3" x14ac:dyDescent="0.25">
      <c r="B535" t="str">
        <f>IF('Data Kumpulan'!B542=1,"Perkotaan","Pedesaan")</f>
        <v>Pedesaan</v>
      </c>
      <c r="C535" s="7">
        <v>395.11635106703801</v>
      </c>
    </row>
    <row r="536" spans="2:3" x14ac:dyDescent="0.25">
      <c r="B536" t="str">
        <f>IF('Data Kumpulan'!B543=1,"Perkotaan","Pedesaan")</f>
        <v>Perkotaan</v>
      </c>
      <c r="C536" s="7">
        <v>879.21075547179305</v>
      </c>
    </row>
    <row r="537" spans="2:3" x14ac:dyDescent="0.25">
      <c r="B537" t="str">
        <f>IF('Data Kumpulan'!B544=1,"Perkotaan","Pedesaan")</f>
        <v>Perkotaan</v>
      </c>
      <c r="C537" s="7">
        <v>639.93121834324495</v>
      </c>
    </row>
    <row r="538" spans="2:3" x14ac:dyDescent="0.25">
      <c r="B538" t="str">
        <f>IF('Data Kumpulan'!B545=1,"Perkotaan","Pedesaan")</f>
        <v>Perkotaan</v>
      </c>
      <c r="C538" s="7">
        <v>473.71987547443001</v>
      </c>
    </row>
    <row r="539" spans="2:3" x14ac:dyDescent="0.25">
      <c r="B539" t="str">
        <f>IF('Data Kumpulan'!B546=1,"Perkotaan","Pedesaan")</f>
        <v>Perkotaan</v>
      </c>
      <c r="C539" s="7">
        <v>812.71662369950297</v>
      </c>
    </row>
    <row r="540" spans="2:3" x14ac:dyDescent="0.25">
      <c r="B540" t="str">
        <f>IF('Data Kumpulan'!B547=1,"Perkotaan","Pedesaan")</f>
        <v>Perkotaan</v>
      </c>
      <c r="C540" s="7">
        <v>737.22442328313196</v>
      </c>
    </row>
    <row r="541" spans="2:3" x14ac:dyDescent="0.25">
      <c r="B541" t="str">
        <f>IF('Data Kumpulan'!B548=1,"Perkotaan","Pedesaan")</f>
        <v>Pedesaan</v>
      </c>
      <c r="C541" s="7">
        <v>285.56855226387103</v>
      </c>
    </row>
    <row r="542" spans="2:3" x14ac:dyDescent="0.25">
      <c r="B542" t="str">
        <f>IF('Data Kumpulan'!B549=1,"Perkotaan","Pedesaan")</f>
        <v>Pedesaan</v>
      </c>
      <c r="C542" s="7">
        <v>758.16165517780905</v>
      </c>
    </row>
    <row r="543" spans="2:3" x14ac:dyDescent="0.25">
      <c r="B543" t="str">
        <f>IF('Data Kumpulan'!B550=1,"Perkotaan","Pedesaan")</f>
        <v>Perkotaan</v>
      </c>
      <c r="C543" s="7">
        <v>788.65547412115495</v>
      </c>
    </row>
    <row r="544" spans="2:3" x14ac:dyDescent="0.25">
      <c r="B544" t="str">
        <f>IF('Data Kumpulan'!B551=1,"Perkotaan","Pedesaan")</f>
        <v>Perkotaan</v>
      </c>
      <c r="C544" s="7">
        <v>1282.5598850547599</v>
      </c>
    </row>
    <row r="545" spans="2:3" x14ac:dyDescent="0.25">
      <c r="B545" t="str">
        <f>IF('Data Kumpulan'!B552=1,"Perkotaan","Pedesaan")</f>
        <v>Pedesaan</v>
      </c>
      <c r="C545" s="7">
        <v>106.956630882114</v>
      </c>
    </row>
    <row r="546" spans="2:3" x14ac:dyDescent="0.25">
      <c r="B546" t="str">
        <f>IF('Data Kumpulan'!B553=1,"Perkotaan","Pedesaan")</f>
        <v>Perkotaan</v>
      </c>
      <c r="C546" s="7">
        <v>686.40230487292195</v>
      </c>
    </row>
    <row r="547" spans="2:3" x14ac:dyDescent="0.25">
      <c r="B547" t="str">
        <f>IF('Data Kumpulan'!B554=1,"Perkotaan","Pedesaan")</f>
        <v>Perkotaan</v>
      </c>
      <c r="C547" s="7">
        <v>130.91728590176501</v>
      </c>
    </row>
    <row r="548" spans="2:3" x14ac:dyDescent="0.25">
      <c r="B548" t="str">
        <f>IF('Data Kumpulan'!B555=1,"Perkotaan","Pedesaan")</f>
        <v>Pedesaan</v>
      </c>
      <c r="C548" s="7">
        <v>524.42087991023902</v>
      </c>
    </row>
    <row r="549" spans="2:3" x14ac:dyDescent="0.25">
      <c r="B549" t="str">
        <f>IF('Data Kumpulan'!B556=1,"Perkotaan","Pedesaan")</f>
        <v>Pedesaan</v>
      </c>
      <c r="C549" s="7">
        <v>474.39873819084602</v>
      </c>
    </row>
    <row r="550" spans="2:3" x14ac:dyDescent="0.25">
      <c r="B550" t="str">
        <f>IF('Data Kumpulan'!B557=1,"Perkotaan","Pedesaan")</f>
        <v>Perkotaan</v>
      </c>
      <c r="C550" s="7">
        <v>631.76665917930097</v>
      </c>
    </row>
    <row r="551" spans="2:3" x14ac:dyDescent="0.25">
      <c r="B551" t="str">
        <f>IF('Data Kumpulan'!B558=1,"Perkotaan","Pedesaan")</f>
        <v>Pedesaan</v>
      </c>
      <c r="C551" s="7">
        <v>611.51081145516196</v>
      </c>
    </row>
    <row r="552" spans="2:3" x14ac:dyDescent="0.25">
      <c r="B552" t="str">
        <f>IF('Data Kumpulan'!B559=1,"Perkotaan","Pedesaan")</f>
        <v>Pedesaan</v>
      </c>
      <c r="C552" s="7">
        <v>344.69673001132003</v>
      </c>
    </row>
    <row r="553" spans="2:3" x14ac:dyDescent="0.25">
      <c r="B553" t="str">
        <f>IF('Data Kumpulan'!B560=1,"Perkotaan","Pedesaan")</f>
        <v>Pedesaan</v>
      </c>
      <c r="C553" s="7">
        <v>419.03819569259002</v>
      </c>
    </row>
    <row r="554" spans="2:3" x14ac:dyDescent="0.25">
      <c r="B554" t="str">
        <f>IF('Data Kumpulan'!B561=1,"Perkotaan","Pedesaan")</f>
        <v>Pedesaan</v>
      </c>
      <c r="C554" s="7">
        <v>493.19617701657103</v>
      </c>
    </row>
    <row r="555" spans="2:3" x14ac:dyDescent="0.25">
      <c r="B555" t="str">
        <f>IF('Data Kumpulan'!B562=1,"Perkotaan","Pedesaan")</f>
        <v>Perkotaan</v>
      </c>
      <c r="C555" s="7">
        <v>652.25716268044596</v>
      </c>
    </row>
    <row r="556" spans="2:3" x14ac:dyDescent="0.25">
      <c r="B556" t="str">
        <f>IF('Data Kumpulan'!B563=1,"Perkotaan","Pedesaan")</f>
        <v>Pedesaan</v>
      </c>
      <c r="C556" s="7">
        <v>425.95100763076101</v>
      </c>
    </row>
    <row r="557" spans="2:3" x14ac:dyDescent="0.25">
      <c r="B557" t="str">
        <f>IF('Data Kumpulan'!B564=1,"Perkotaan","Pedesaan")</f>
        <v>Pedesaan</v>
      </c>
      <c r="C557" s="7">
        <v>155.596677989043</v>
      </c>
    </row>
    <row r="558" spans="2:3" x14ac:dyDescent="0.25">
      <c r="B558" t="str">
        <f>IF('Data Kumpulan'!B565=1,"Perkotaan","Pedesaan")</f>
        <v>Pedesaan</v>
      </c>
      <c r="C558" s="7">
        <v>758.25471683888895</v>
      </c>
    </row>
    <row r="559" spans="2:3" x14ac:dyDescent="0.25">
      <c r="B559" t="str">
        <f>IF('Data Kumpulan'!B566=1,"Perkotaan","Pedesaan")</f>
        <v>Perkotaan</v>
      </c>
      <c r="C559" s="7">
        <v>918.97827776399402</v>
      </c>
    </row>
    <row r="560" spans="2:3" x14ac:dyDescent="0.25">
      <c r="B560" t="str">
        <f>IF('Data Kumpulan'!B567=1,"Perkotaan","Pedesaan")</f>
        <v>Pedesaan</v>
      </c>
      <c r="C560" s="7">
        <v>980.17686620030599</v>
      </c>
    </row>
    <row r="561" spans="2:3" x14ac:dyDescent="0.25">
      <c r="B561" t="str">
        <f>IF('Data Kumpulan'!B568=1,"Perkotaan","Pedesaan")</f>
        <v>Pedesaan</v>
      </c>
      <c r="C561" s="7">
        <v>47.462170006270803</v>
      </c>
    </row>
    <row r="562" spans="2:3" x14ac:dyDescent="0.25">
      <c r="B562" t="str">
        <f>IF('Data Kumpulan'!B569=1,"Perkotaan","Pedesaan")</f>
        <v>Pedesaan</v>
      </c>
      <c r="C562" s="7">
        <v>363.67592731176302</v>
      </c>
    </row>
    <row r="563" spans="2:3" x14ac:dyDescent="0.25">
      <c r="B563" t="str">
        <f>IF('Data Kumpulan'!B570=1,"Perkotaan","Pedesaan")</f>
        <v>Pedesaan</v>
      </c>
      <c r="C563" s="7">
        <v>530.99070255209404</v>
      </c>
    </row>
    <row r="564" spans="2:3" x14ac:dyDescent="0.25">
      <c r="B564" t="str">
        <f>IF('Data Kumpulan'!B571=1,"Perkotaan","Pedesaan")</f>
        <v>Perkotaan</v>
      </c>
      <c r="C564" s="7">
        <v>757.824221800141</v>
      </c>
    </row>
    <row r="565" spans="2:3" x14ac:dyDescent="0.25">
      <c r="B565" t="str">
        <f>IF('Data Kumpulan'!B572=1,"Perkotaan","Pedesaan")</f>
        <v>Pedesaan</v>
      </c>
      <c r="C565" s="7">
        <v>707.12298562242495</v>
      </c>
    </row>
    <row r="566" spans="2:3" x14ac:dyDescent="0.25">
      <c r="B566" t="str">
        <f>IF('Data Kumpulan'!B573=1,"Perkotaan","Pedesaan")</f>
        <v>Pedesaan</v>
      </c>
      <c r="C566" s="7">
        <v>361.98487780394601</v>
      </c>
    </row>
    <row r="567" spans="2:3" x14ac:dyDescent="0.25">
      <c r="B567" t="str">
        <f>IF('Data Kumpulan'!B574=1,"Perkotaan","Pedesaan")</f>
        <v>Pedesaan</v>
      </c>
      <c r="C567" s="7">
        <v>302.22330899285402</v>
      </c>
    </row>
    <row r="568" spans="2:3" x14ac:dyDescent="0.25">
      <c r="B568" t="str">
        <f>IF('Data Kumpulan'!B575=1,"Perkotaan","Pedesaan")</f>
        <v>Pedesaan</v>
      </c>
      <c r="C568" s="7">
        <v>579.07104299847595</v>
      </c>
    </row>
    <row r="569" spans="2:3" x14ac:dyDescent="0.25">
      <c r="B569" t="str">
        <f>IF('Data Kumpulan'!B576=1,"Perkotaan","Pedesaan")</f>
        <v>Pedesaan</v>
      </c>
      <c r="C569" s="7">
        <v>1107.7489162295601</v>
      </c>
    </row>
    <row r="570" spans="2:3" x14ac:dyDescent="0.25">
      <c r="B570" t="str">
        <f>IF('Data Kumpulan'!B577=1,"Perkotaan","Pedesaan")</f>
        <v>Pedesaan</v>
      </c>
      <c r="C570" s="7">
        <v>540.05668353555598</v>
      </c>
    </row>
    <row r="571" spans="2:3" x14ac:dyDescent="0.25">
      <c r="B571" t="str">
        <f>IF('Data Kumpulan'!B578=1,"Perkotaan","Pedesaan")</f>
        <v>Pedesaan</v>
      </c>
      <c r="C571" s="7">
        <v>443.441500799587</v>
      </c>
    </row>
    <row r="572" spans="2:3" x14ac:dyDescent="0.25">
      <c r="B572" t="str">
        <f>IF('Data Kumpulan'!B579=1,"Perkotaan","Pedesaan")</f>
        <v>Perkotaan</v>
      </c>
      <c r="C572" s="7">
        <v>403.122357437478</v>
      </c>
    </row>
    <row r="573" spans="2:3" x14ac:dyDescent="0.25">
      <c r="B573" t="str">
        <f>IF('Data Kumpulan'!B580=1,"Perkotaan","Pedesaan")</f>
        <v>Pedesaan</v>
      </c>
      <c r="C573" s="7">
        <v>838.91529966142605</v>
      </c>
    </row>
    <row r="574" spans="2:3" x14ac:dyDescent="0.25">
      <c r="B574" t="str">
        <f>IF('Data Kumpulan'!B581=1,"Perkotaan","Pedesaan")</f>
        <v>Perkotaan</v>
      </c>
      <c r="C574" s="7">
        <v>938.15628549418204</v>
      </c>
    </row>
    <row r="575" spans="2:3" x14ac:dyDescent="0.25">
      <c r="B575" t="str">
        <f>IF('Data Kumpulan'!B582=1,"Perkotaan","Pedesaan")</f>
        <v>Perkotaan</v>
      </c>
      <c r="C575" s="7">
        <v>998.04945084238398</v>
      </c>
    </row>
    <row r="576" spans="2:3" x14ac:dyDescent="0.25">
      <c r="B576" t="str">
        <f>IF('Data Kumpulan'!B583=1,"Perkotaan","Pedesaan")</f>
        <v>Pedesaan</v>
      </c>
      <c r="C576" s="7">
        <v>1191.3517342632699</v>
      </c>
    </row>
    <row r="577" spans="2:3" x14ac:dyDescent="0.25">
      <c r="B577" t="str">
        <f>IF('Data Kumpulan'!B584=1,"Perkotaan","Pedesaan")</f>
        <v>Perkotaan</v>
      </c>
      <c r="C577" s="7">
        <v>919.603933679286</v>
      </c>
    </row>
    <row r="578" spans="2:3" x14ac:dyDescent="0.25">
      <c r="B578" t="str">
        <f>IF('Data Kumpulan'!B585=1,"Perkotaan","Pedesaan")</f>
        <v>Pedesaan</v>
      </c>
      <c r="C578" s="7">
        <v>434.43771247762601</v>
      </c>
    </row>
    <row r="579" spans="2:3" x14ac:dyDescent="0.25">
      <c r="B579" t="str">
        <f>IF('Data Kumpulan'!B586=1,"Perkotaan","Pedesaan")</f>
        <v>Perkotaan</v>
      </c>
      <c r="C579" s="7">
        <v>173.877110329624</v>
      </c>
    </row>
    <row r="580" spans="2:3" x14ac:dyDescent="0.25">
      <c r="B580" t="str">
        <f>IF('Data Kumpulan'!B587=1,"Perkotaan","Pedesaan")</f>
        <v>Perkotaan</v>
      </c>
      <c r="C580" s="7">
        <v>517.39638440898602</v>
      </c>
    </row>
    <row r="581" spans="2:3" x14ac:dyDescent="0.25">
      <c r="B581" t="str">
        <f>IF('Data Kumpulan'!B588=1,"Perkotaan","Pedesaan")</f>
        <v>Perkotaan</v>
      </c>
      <c r="C581" s="7">
        <v>575.43887735407498</v>
      </c>
    </row>
    <row r="582" spans="2:3" x14ac:dyDescent="0.25">
      <c r="B582" t="str">
        <f>IF('Data Kumpulan'!B589=1,"Perkotaan","Pedesaan")</f>
        <v>Perkotaan</v>
      </c>
      <c r="C582" s="7">
        <v>358.14377243982602</v>
      </c>
    </row>
    <row r="583" spans="2:3" x14ac:dyDescent="0.25">
      <c r="B583" t="str">
        <f>IF('Data Kumpulan'!B590=1,"Perkotaan","Pedesaan")</f>
        <v>Pedesaan</v>
      </c>
      <c r="C583" s="7">
        <v>26.4042014637153</v>
      </c>
    </row>
    <row r="584" spans="2:3" x14ac:dyDescent="0.25">
      <c r="B584" t="str">
        <f>IF('Data Kumpulan'!B591=1,"Perkotaan","Pedesaan")</f>
        <v>Pedesaan</v>
      </c>
      <c r="C584" s="7">
        <v>262.78885561180601</v>
      </c>
    </row>
    <row r="585" spans="2:3" x14ac:dyDescent="0.25">
      <c r="B585" t="str">
        <f>IF('Data Kumpulan'!B592=1,"Perkotaan","Pedesaan")</f>
        <v>Pedesaan</v>
      </c>
      <c r="C585" s="7">
        <v>130.981629477474</v>
      </c>
    </row>
    <row r="586" spans="2:3" x14ac:dyDescent="0.25">
      <c r="B586" t="str">
        <f>IF('Data Kumpulan'!B593=1,"Perkotaan","Pedesaan")</f>
        <v>Pedesaan</v>
      </c>
      <c r="C586" s="7">
        <v>1114.1836874369801</v>
      </c>
    </row>
    <row r="587" spans="2:3" x14ac:dyDescent="0.25">
      <c r="B587" t="str">
        <f>IF('Data Kumpulan'!B594=1,"Perkotaan","Pedesaan")</f>
        <v>Perkotaan</v>
      </c>
      <c r="C587" s="7">
        <v>397.51581297535802</v>
      </c>
    </row>
    <row r="588" spans="2:3" x14ac:dyDescent="0.25">
      <c r="B588" t="str">
        <f>IF('Data Kumpulan'!B595=1,"Perkotaan","Pedesaan")</f>
        <v>Pedesaan</v>
      </c>
      <c r="C588" s="7">
        <v>118.22828844092901</v>
      </c>
    </row>
    <row r="589" spans="2:3" x14ac:dyDescent="0.25">
      <c r="B589" t="str">
        <f>IF('Data Kumpulan'!B596=1,"Perkotaan","Pedesaan")</f>
        <v>Perkotaan</v>
      </c>
      <c r="C589" s="7">
        <v>1957.6924194016301</v>
      </c>
    </row>
    <row r="590" spans="2:3" x14ac:dyDescent="0.25">
      <c r="B590" t="str">
        <f>IF('Data Kumpulan'!B597=1,"Perkotaan","Pedesaan")</f>
        <v>Pedesaan</v>
      </c>
      <c r="C590" s="7">
        <v>268.63460747917901</v>
      </c>
    </row>
    <row r="591" spans="2:3" x14ac:dyDescent="0.25">
      <c r="B591" t="str">
        <f>IF('Data Kumpulan'!B598=1,"Perkotaan","Pedesaan")</f>
        <v>Perkotaan</v>
      </c>
      <c r="C591" s="7">
        <v>602.45381559601901</v>
      </c>
    </row>
    <row r="592" spans="2:3" x14ac:dyDescent="0.25">
      <c r="B592" t="str">
        <f>IF('Data Kumpulan'!B599=1,"Perkotaan","Pedesaan")</f>
        <v>Perkotaan</v>
      </c>
      <c r="C592" s="7">
        <v>1034.55119986504</v>
      </c>
    </row>
    <row r="593" spans="2:3" x14ac:dyDescent="0.25">
      <c r="B593" t="str">
        <f>IF('Data Kumpulan'!B600=1,"Perkotaan","Pedesaan")</f>
        <v>Perkotaan</v>
      </c>
      <c r="C593" s="7">
        <v>607.01870341061306</v>
      </c>
    </row>
    <row r="594" spans="2:3" x14ac:dyDescent="0.25">
      <c r="B594" t="str">
        <f>IF('Data Kumpulan'!B601=1,"Perkotaan","Pedesaan")</f>
        <v>Pedesaan</v>
      </c>
      <c r="C594" s="7">
        <v>598.84676020048801</v>
      </c>
    </row>
    <row r="595" spans="2:3" x14ac:dyDescent="0.25">
      <c r="B595" t="str">
        <f>IF('Data Kumpulan'!B602=1,"Perkotaan","Pedesaan")</f>
        <v>Pedesaan</v>
      </c>
      <c r="C595" s="7">
        <v>629.96971381826302</v>
      </c>
    </row>
    <row r="596" spans="2:3" x14ac:dyDescent="0.25">
      <c r="B596" t="str">
        <f>IF('Data Kumpulan'!B603=1,"Perkotaan","Pedesaan")</f>
        <v>Pedesaan</v>
      </c>
      <c r="C596" s="7">
        <v>26.4042014637153</v>
      </c>
    </row>
    <row r="597" spans="2:3" x14ac:dyDescent="0.25">
      <c r="B597" t="str">
        <f>IF('Data Kumpulan'!B604=1,"Perkotaan","Pedesaan")</f>
        <v>Pedesaan</v>
      </c>
      <c r="C597" s="7">
        <v>2133.07147908773</v>
      </c>
    </row>
    <row r="598" spans="2:3" x14ac:dyDescent="0.25">
      <c r="B598" t="str">
        <f>IF('Data Kumpulan'!B605=1,"Perkotaan","Pedesaan")</f>
        <v>Pedesaan</v>
      </c>
      <c r="C598" s="7">
        <v>380.47055917819802</v>
      </c>
    </row>
    <row r="599" spans="2:3" x14ac:dyDescent="0.25">
      <c r="B599" t="str">
        <f>IF('Data Kumpulan'!B606=1,"Perkotaan","Pedesaan")</f>
        <v>Pedesaan</v>
      </c>
      <c r="C599" s="7">
        <v>649.89296559837805</v>
      </c>
    </row>
    <row r="600" spans="2:3" x14ac:dyDescent="0.25">
      <c r="B600" t="str">
        <f>IF('Data Kumpulan'!B607=1,"Perkotaan","Pedesaan")</f>
        <v>Pedesaan</v>
      </c>
      <c r="C600" s="7">
        <v>154.60195728250201</v>
      </c>
    </row>
    <row r="601" spans="2:3" x14ac:dyDescent="0.25">
      <c r="B601" t="str">
        <f>IF('Data Kumpulan'!B608=1,"Perkotaan","Pedesaan")</f>
        <v>Pedesaan</v>
      </c>
      <c r="C601" s="7">
        <v>21.8873556273088</v>
      </c>
    </row>
    <row r="602" spans="2:3" x14ac:dyDescent="0.25">
      <c r="B602" t="str">
        <f>IF('Data Kumpulan'!B609=1,"Perkotaan","Pedesaan")</f>
        <v>Pedesaan</v>
      </c>
      <c r="C602" s="7">
        <v>420.84039689768701</v>
      </c>
    </row>
    <row r="603" spans="2:3" x14ac:dyDescent="0.25">
      <c r="B603" t="str">
        <f>IF('Data Kumpulan'!B610=1,"Perkotaan","Pedesaan")</f>
        <v>Pedesaan</v>
      </c>
      <c r="C603" s="7">
        <v>163.502821556486</v>
      </c>
    </row>
    <row r="604" spans="2:3" x14ac:dyDescent="0.25">
      <c r="B604" t="str">
        <f>IF('Data Kumpulan'!B611=1,"Perkotaan","Pedesaan")</f>
        <v>Pedesaan</v>
      </c>
      <c r="C604" s="7">
        <v>497.00201254040002</v>
      </c>
    </row>
    <row r="605" spans="2:3" x14ac:dyDescent="0.25">
      <c r="B605" t="str">
        <f>IF('Data Kumpulan'!B612=1,"Perkotaan","Pedesaan")</f>
        <v>Perkotaan</v>
      </c>
      <c r="C605" s="7">
        <v>461.02663396808401</v>
      </c>
    </row>
    <row r="606" spans="2:3" x14ac:dyDescent="0.25">
      <c r="B606" t="str">
        <f>IF('Data Kumpulan'!B613=1,"Perkotaan","Pedesaan")</f>
        <v>Pedesaan</v>
      </c>
      <c r="C606" s="7">
        <v>540.77716717075396</v>
      </c>
    </row>
    <row r="607" spans="2:3" x14ac:dyDescent="0.25">
      <c r="B607" t="str">
        <f>IF('Data Kumpulan'!B614=1,"Perkotaan","Pedesaan")</f>
        <v>Perkotaan</v>
      </c>
      <c r="C607" s="7">
        <v>510.70707380546901</v>
      </c>
    </row>
    <row r="608" spans="2:3" x14ac:dyDescent="0.25">
      <c r="B608" t="str">
        <f>IF('Data Kumpulan'!B615=1,"Perkotaan","Pedesaan")</f>
        <v>Perkotaan</v>
      </c>
      <c r="C608" s="7">
        <v>676.33585849018004</v>
      </c>
    </row>
    <row r="609" spans="2:3" x14ac:dyDescent="0.25">
      <c r="B609" t="str">
        <f>IF('Data Kumpulan'!B616=1,"Perkotaan","Pedesaan")</f>
        <v>Pedesaan</v>
      </c>
      <c r="C609" s="7">
        <v>610.170779423108</v>
      </c>
    </row>
    <row r="610" spans="2:3" x14ac:dyDescent="0.25">
      <c r="B610" t="str">
        <f>IF('Data Kumpulan'!B617=1,"Perkotaan","Pedesaan")</f>
        <v>Pedesaan</v>
      </c>
      <c r="C610" s="7">
        <v>24.9655109993463</v>
      </c>
    </row>
    <row r="611" spans="2:3" x14ac:dyDescent="0.25">
      <c r="B611" t="str">
        <f>IF('Data Kumpulan'!B618=1,"Perkotaan","Pedesaan")</f>
        <v>Perkotaan</v>
      </c>
      <c r="C611" s="7">
        <v>572.52658273146005</v>
      </c>
    </row>
    <row r="612" spans="2:3" x14ac:dyDescent="0.25">
      <c r="B612" t="str">
        <f>IF('Data Kumpulan'!B619=1,"Perkotaan","Pedesaan")</f>
        <v>Pedesaan</v>
      </c>
      <c r="C612" s="7">
        <v>276.52612232504202</v>
      </c>
    </row>
    <row r="613" spans="2:3" x14ac:dyDescent="0.25">
      <c r="B613" t="str">
        <f>IF('Data Kumpulan'!B620=1,"Perkotaan","Pedesaan")</f>
        <v>Pedesaan</v>
      </c>
      <c r="C613" s="7">
        <v>366.85191881831503</v>
      </c>
    </row>
    <row r="614" spans="2:3" x14ac:dyDescent="0.25">
      <c r="B614" t="str">
        <f>IF('Data Kumpulan'!B621=1,"Perkotaan","Pedesaan")</f>
        <v>Perkotaan</v>
      </c>
      <c r="C614" s="7">
        <v>760.89223508264195</v>
      </c>
    </row>
    <row r="615" spans="2:3" x14ac:dyDescent="0.25">
      <c r="B615" t="str">
        <f>IF('Data Kumpulan'!B622=1,"Perkotaan","Pedesaan")</f>
        <v>Pedesaan</v>
      </c>
      <c r="C615" s="7">
        <v>2.9434124646759798</v>
      </c>
    </row>
    <row r="616" spans="2:3" x14ac:dyDescent="0.25">
      <c r="B616" t="str">
        <f>IF('Data Kumpulan'!B623=1,"Perkotaan","Pedesaan")</f>
        <v>Perkotaan</v>
      </c>
      <c r="C616" s="7">
        <v>284.18781434704402</v>
      </c>
    </row>
    <row r="617" spans="2:3" x14ac:dyDescent="0.25">
      <c r="B617" t="str">
        <f>IF('Data Kumpulan'!B624=1,"Perkotaan","Pedesaan")</f>
        <v>Perkotaan</v>
      </c>
      <c r="C617" s="7">
        <v>338.40465743182102</v>
      </c>
    </row>
    <row r="618" spans="2:3" x14ac:dyDescent="0.25">
      <c r="B618" t="str">
        <f>IF('Data Kumpulan'!B625=1,"Perkotaan","Pedesaan")</f>
        <v>Pedesaan</v>
      </c>
      <c r="C618" s="7">
        <v>24.273857586442201</v>
      </c>
    </row>
    <row r="619" spans="2:3" x14ac:dyDescent="0.25">
      <c r="B619" t="str">
        <f>IF('Data Kumpulan'!B626=1,"Perkotaan","Pedesaan")</f>
        <v>Pedesaan</v>
      </c>
      <c r="C619" s="7">
        <v>657.36784409464497</v>
      </c>
    </row>
    <row r="620" spans="2:3" x14ac:dyDescent="0.25">
      <c r="B620" t="str">
        <f>IF('Data Kumpulan'!B627=1,"Perkotaan","Pedesaan")</f>
        <v>Perkotaan</v>
      </c>
      <c r="C620" s="7">
        <v>170.192471672295</v>
      </c>
    </row>
    <row r="621" spans="2:3" x14ac:dyDescent="0.25">
      <c r="B621" t="str">
        <f>IF('Data Kumpulan'!B628=1,"Perkotaan","Pedesaan")</f>
        <v>Pedesaan</v>
      </c>
      <c r="C621" s="7">
        <v>18.1336791004776</v>
      </c>
    </row>
    <row r="622" spans="2:3" x14ac:dyDescent="0.25">
      <c r="B622" t="str">
        <f>IF('Data Kumpulan'!B629=1,"Perkotaan","Pedesaan")</f>
        <v>Pedesaan</v>
      </c>
      <c r="C622" s="7">
        <v>186.87041221631699</v>
      </c>
    </row>
    <row r="623" spans="2:3" x14ac:dyDescent="0.25">
      <c r="B623" t="str">
        <f>IF('Data Kumpulan'!B630=1,"Perkotaan","Pedesaan")</f>
        <v>Pedesaan</v>
      </c>
      <c r="C623" s="7">
        <v>2101.6975685809698</v>
      </c>
    </row>
    <row r="624" spans="2:3" x14ac:dyDescent="0.25">
      <c r="B624" t="str">
        <f>IF('Data Kumpulan'!B631=1,"Perkotaan","Pedesaan")</f>
        <v>Perkotaan</v>
      </c>
      <c r="C624" s="7">
        <v>1251.9074662011601</v>
      </c>
    </row>
    <row r="625" spans="2:3" x14ac:dyDescent="0.25">
      <c r="B625" t="str">
        <f>IF('Data Kumpulan'!B632=1,"Perkotaan","Pedesaan")</f>
        <v>Pedesaan</v>
      </c>
      <c r="C625" s="7">
        <v>120.661309802362</v>
      </c>
    </row>
    <row r="626" spans="2:3" x14ac:dyDescent="0.25">
      <c r="B626" t="str">
        <f>IF('Data Kumpulan'!B633=1,"Perkotaan","Pedesaan")</f>
        <v>Pedesaan</v>
      </c>
      <c r="C626" s="7">
        <v>259.62078843398803</v>
      </c>
    </row>
    <row r="627" spans="2:3" x14ac:dyDescent="0.25">
      <c r="B627" t="str">
        <f>IF('Data Kumpulan'!B634=1,"Perkotaan","Pedesaan")</f>
        <v>Perkotaan</v>
      </c>
      <c r="C627" s="7">
        <v>547.91003612105101</v>
      </c>
    </row>
    <row r="628" spans="2:3" x14ac:dyDescent="0.25">
      <c r="B628" t="str">
        <f>IF('Data Kumpulan'!B635=1,"Perkotaan","Pedesaan")</f>
        <v>Pedesaan</v>
      </c>
      <c r="C628" s="7">
        <v>652.41672724492105</v>
      </c>
    </row>
    <row r="629" spans="2:3" x14ac:dyDescent="0.25">
      <c r="B629" t="str">
        <f>IF('Data Kumpulan'!B636=1,"Perkotaan","Pedesaan")</f>
        <v>Perkotaan</v>
      </c>
      <c r="C629" s="7">
        <v>1017.88995194245</v>
      </c>
    </row>
    <row r="630" spans="2:3" x14ac:dyDescent="0.25">
      <c r="B630" t="str">
        <f>IF('Data Kumpulan'!B637=1,"Perkotaan","Pedesaan")</f>
        <v>Perkotaan</v>
      </c>
      <c r="C630" s="7">
        <v>628.51347435572302</v>
      </c>
    </row>
    <row r="631" spans="2:3" x14ac:dyDescent="0.25">
      <c r="B631" t="str">
        <f>IF('Data Kumpulan'!B638=1,"Perkotaan","Pedesaan")</f>
        <v>Perkotaan</v>
      </c>
      <c r="C631" s="7">
        <v>1103.83550871337</v>
      </c>
    </row>
    <row r="632" spans="2:3" x14ac:dyDescent="0.25">
      <c r="B632" t="str">
        <f>IF('Data Kumpulan'!B639=1,"Perkotaan","Pedesaan")</f>
        <v>Pedesaan</v>
      </c>
      <c r="C632" s="7">
        <v>399.73810402883203</v>
      </c>
    </row>
    <row r="633" spans="2:3" x14ac:dyDescent="0.25">
      <c r="B633" t="str">
        <f>IF('Data Kumpulan'!B640=1,"Perkotaan","Pedesaan")</f>
        <v>Perkotaan</v>
      </c>
      <c r="C633" s="7">
        <v>217.787574289129</v>
      </c>
    </row>
    <row r="634" spans="2:3" x14ac:dyDescent="0.25">
      <c r="B634" t="str">
        <f>IF('Data Kumpulan'!B641=1,"Perkotaan","Pedesaan")</f>
        <v>Perkotaan</v>
      </c>
      <c r="C634" s="7">
        <v>527.21412819550301</v>
      </c>
    </row>
    <row r="635" spans="2:3" x14ac:dyDescent="0.25">
      <c r="B635" t="str">
        <f>IF('Data Kumpulan'!B642=1,"Perkotaan","Pedesaan")</f>
        <v>Perkotaan</v>
      </c>
      <c r="C635" s="7">
        <v>1953.63720784364</v>
      </c>
    </row>
    <row r="636" spans="2:3" x14ac:dyDescent="0.25">
      <c r="B636" t="str">
        <f>IF('Data Kumpulan'!B643=1,"Perkotaan","Pedesaan")</f>
        <v>Pedesaan</v>
      </c>
      <c r="C636" s="7">
        <v>282.353313747404</v>
      </c>
    </row>
    <row r="637" spans="2:3" x14ac:dyDescent="0.25">
      <c r="B637" t="str">
        <f>IF('Data Kumpulan'!B644=1,"Perkotaan","Pedesaan")</f>
        <v>Pedesaan</v>
      </c>
      <c r="C637" s="7">
        <v>581.50070963170594</v>
      </c>
    </row>
    <row r="638" spans="2:3" x14ac:dyDescent="0.25">
      <c r="B638" t="str">
        <f>IF('Data Kumpulan'!B645=1,"Perkotaan","Pedesaan")</f>
        <v>Pedesaan</v>
      </c>
      <c r="C638" s="7">
        <v>140.08479088985001</v>
      </c>
    </row>
    <row r="639" spans="2:3" x14ac:dyDescent="0.25">
      <c r="B639" t="str">
        <f>IF('Data Kumpulan'!B646=1,"Perkotaan","Pedesaan")</f>
        <v>Pedesaan</v>
      </c>
      <c r="C639" s="7">
        <v>104.556039577207</v>
      </c>
    </row>
    <row r="640" spans="2:3" x14ac:dyDescent="0.25">
      <c r="B640" t="str">
        <f>IF('Data Kumpulan'!B647=1,"Perkotaan","Pedesaan")</f>
        <v>Perkotaan</v>
      </c>
      <c r="C640" s="7">
        <v>1280.8793678557299</v>
      </c>
    </row>
    <row r="641" spans="2:3" x14ac:dyDescent="0.25">
      <c r="B641" t="str">
        <f>IF('Data Kumpulan'!B648=1,"Perkotaan","Pedesaan")</f>
        <v>Pedesaan</v>
      </c>
      <c r="C641" s="7">
        <v>1044.4277611794701</v>
      </c>
    </row>
    <row r="642" spans="2:3" x14ac:dyDescent="0.25">
      <c r="B642" t="str">
        <f>IF('Data Kumpulan'!B649=1,"Perkotaan","Pedesaan")</f>
        <v>Perkotaan</v>
      </c>
      <c r="C642" s="7">
        <v>73.547994141465495</v>
      </c>
    </row>
    <row r="643" spans="2:3" x14ac:dyDescent="0.25">
      <c r="B643" t="str">
        <f>IF('Data Kumpulan'!B650=1,"Perkotaan","Pedesaan")</f>
        <v>Pedesaan</v>
      </c>
      <c r="C643" s="7">
        <v>200.552413611379</v>
      </c>
    </row>
    <row r="644" spans="2:3" x14ac:dyDescent="0.25">
      <c r="B644" t="str">
        <f>IF('Data Kumpulan'!B651=1,"Perkotaan","Pedesaan")</f>
        <v>Perkotaan</v>
      </c>
      <c r="C644" s="7">
        <v>727.10029660139503</v>
      </c>
    </row>
    <row r="645" spans="2:3" x14ac:dyDescent="0.25">
      <c r="B645" t="str">
        <f>IF('Data Kumpulan'!B652=1,"Perkotaan","Pedesaan")</f>
        <v>Perkotaan</v>
      </c>
      <c r="C645" s="7">
        <v>230.735327446262</v>
      </c>
    </row>
    <row r="646" spans="2:3" x14ac:dyDescent="0.25">
      <c r="B646" t="str">
        <f>IF('Data Kumpulan'!B653=1,"Perkotaan","Pedesaan")</f>
        <v>Pedesaan</v>
      </c>
      <c r="C646" s="7">
        <v>511.59163565028501</v>
      </c>
    </row>
    <row r="647" spans="2:3" x14ac:dyDescent="0.25">
      <c r="B647" t="str">
        <f>IF('Data Kumpulan'!B654=1,"Perkotaan","Pedesaan")</f>
        <v>Pedesaan</v>
      </c>
      <c r="C647" s="7">
        <v>424.487736163318</v>
      </c>
    </row>
    <row r="648" spans="2:3" x14ac:dyDescent="0.25">
      <c r="B648" t="str">
        <f>IF('Data Kumpulan'!B655=1,"Perkotaan","Pedesaan")</f>
        <v>Pedesaan</v>
      </c>
      <c r="C648" s="7">
        <v>288.960661681462</v>
      </c>
    </row>
    <row r="649" spans="2:3" x14ac:dyDescent="0.25">
      <c r="B649" t="str">
        <f>IF('Data Kumpulan'!B656=1,"Perkotaan","Pedesaan")</f>
        <v>Pedesaan</v>
      </c>
      <c r="C649" s="7">
        <v>537.82287572703206</v>
      </c>
    </row>
    <row r="650" spans="2:3" x14ac:dyDescent="0.25">
      <c r="B650" t="str">
        <f>IF('Data Kumpulan'!B657=1,"Perkotaan","Pedesaan")</f>
        <v>Pedesaan</v>
      </c>
      <c r="C650" s="7">
        <v>403.38195672617002</v>
      </c>
    </row>
    <row r="651" spans="2:3" x14ac:dyDescent="0.25">
      <c r="B651" t="str">
        <f>IF('Data Kumpulan'!B658=1,"Perkotaan","Pedesaan")</f>
        <v>Pedesaan</v>
      </c>
      <c r="C651" s="7">
        <v>855.75640596786695</v>
      </c>
    </row>
    <row r="652" spans="2:3" x14ac:dyDescent="0.25">
      <c r="B652" t="str">
        <f>IF('Data Kumpulan'!B659=1,"Perkotaan","Pedesaan")</f>
        <v>Pedesaan</v>
      </c>
      <c r="C652" s="7">
        <v>1004.83688023528</v>
      </c>
    </row>
    <row r="653" spans="2:3" x14ac:dyDescent="0.25">
      <c r="B653" t="str">
        <f>IF('Data Kumpulan'!B660=1,"Perkotaan","Pedesaan")</f>
        <v>Perkotaan</v>
      </c>
      <c r="C653" s="7">
        <v>547.13266645096701</v>
      </c>
    </row>
    <row r="654" spans="2:3" x14ac:dyDescent="0.25">
      <c r="B654" t="str">
        <f>IF('Data Kumpulan'!B661=1,"Perkotaan","Pedesaan")</f>
        <v>Pedesaan</v>
      </c>
      <c r="C654" s="7">
        <v>217.605543661269</v>
      </c>
    </row>
    <row r="655" spans="2:3" x14ac:dyDescent="0.25">
      <c r="B655" t="str">
        <f>IF('Data Kumpulan'!B662=1,"Perkotaan","Pedesaan")</f>
        <v>Pedesaan</v>
      </c>
      <c r="C655" s="7">
        <v>27.394461742699999</v>
      </c>
    </row>
    <row r="656" spans="2:3" x14ac:dyDescent="0.25">
      <c r="B656" t="str">
        <f>IF('Data Kumpulan'!B663=1,"Perkotaan","Pedesaan")</f>
        <v>Pedesaan</v>
      </c>
      <c r="C656" s="7">
        <v>100.055901469771</v>
      </c>
    </row>
    <row r="657" spans="2:3" x14ac:dyDescent="0.25">
      <c r="B657" t="str">
        <f>IF('Data Kumpulan'!B664=1,"Perkotaan","Pedesaan")</f>
        <v>Pedesaan</v>
      </c>
      <c r="C657" s="7">
        <v>30.422618656173</v>
      </c>
    </row>
    <row r="658" spans="2:3" x14ac:dyDescent="0.25">
      <c r="B658" t="str">
        <f>IF('Data Kumpulan'!B665=1,"Perkotaan","Pedesaan")</f>
        <v>Pedesaan</v>
      </c>
      <c r="C658" s="7">
        <v>798.90131061513</v>
      </c>
    </row>
    <row r="659" spans="2:3" x14ac:dyDescent="0.25">
      <c r="B659" t="str">
        <f>IF('Data Kumpulan'!B666=1,"Perkotaan","Pedesaan")</f>
        <v>Perkotaan</v>
      </c>
      <c r="C659" s="7">
        <v>772.60254245942394</v>
      </c>
    </row>
    <row r="660" spans="2:3" x14ac:dyDescent="0.25">
      <c r="B660" t="str">
        <f>IF('Data Kumpulan'!B667=1,"Perkotaan","Pedesaan")</f>
        <v>Pedesaan</v>
      </c>
      <c r="C660" s="7">
        <v>118.22828844092901</v>
      </c>
    </row>
    <row r="661" spans="2:3" x14ac:dyDescent="0.25">
      <c r="B661" t="str">
        <f>IF('Data Kumpulan'!B668=1,"Perkotaan","Pedesaan")</f>
        <v>Pedesaan</v>
      </c>
      <c r="C661" s="7">
        <v>443.41598151788003</v>
      </c>
    </row>
    <row r="662" spans="2:3" x14ac:dyDescent="0.25">
      <c r="B662" t="str">
        <f>IF('Data Kumpulan'!B669=1,"Perkotaan","Pedesaan")</f>
        <v>Perkotaan</v>
      </c>
      <c r="C662" s="7">
        <v>160.447972361658</v>
      </c>
    </row>
    <row r="663" spans="2:3" x14ac:dyDescent="0.25">
      <c r="B663" t="str">
        <f>IF('Data Kumpulan'!B670=1,"Perkotaan","Pedesaan")</f>
        <v>Perkotaan</v>
      </c>
      <c r="C663" s="7">
        <v>2057.0823390109799</v>
      </c>
    </row>
    <row r="664" spans="2:3" x14ac:dyDescent="0.25">
      <c r="B664" t="str">
        <f>IF('Data Kumpulan'!B671=1,"Perkotaan","Pedesaan")</f>
        <v>Perkotaan</v>
      </c>
      <c r="C664" s="7">
        <v>1358.75210076909</v>
      </c>
    </row>
    <row r="665" spans="2:3" x14ac:dyDescent="0.25">
      <c r="B665" t="str">
        <f>IF('Data Kumpulan'!B672=1,"Perkotaan","Pedesaan")</f>
        <v>Pedesaan</v>
      </c>
      <c r="C665" s="7">
        <v>251.850273827704</v>
      </c>
    </row>
    <row r="666" spans="2:3" x14ac:dyDescent="0.25">
      <c r="B666" t="str">
        <f>IF('Data Kumpulan'!B673=1,"Perkotaan","Pedesaan")</f>
        <v>Pedesaan</v>
      </c>
      <c r="C666" s="7">
        <v>419.69316419747503</v>
      </c>
    </row>
    <row r="667" spans="2:3" x14ac:dyDescent="0.25">
      <c r="B667" t="str">
        <f>IF('Data Kumpulan'!B674=1,"Perkotaan","Pedesaan")</f>
        <v>Pedesaan</v>
      </c>
      <c r="C667" s="7">
        <v>126.674197815924</v>
      </c>
    </row>
    <row r="668" spans="2:3" x14ac:dyDescent="0.25">
      <c r="B668" t="str">
        <f>IF('Data Kumpulan'!B675=1,"Perkotaan","Pedesaan")</f>
        <v>Pedesaan</v>
      </c>
      <c r="C668" s="7">
        <v>1046.85339012393</v>
      </c>
    </row>
    <row r="669" spans="2:3" x14ac:dyDescent="0.25">
      <c r="B669" t="str">
        <f>IF('Data Kumpulan'!B676=1,"Perkotaan","Pedesaan")</f>
        <v>Perkotaan</v>
      </c>
      <c r="C669" s="7">
        <v>551.833170180617</v>
      </c>
    </row>
    <row r="670" spans="2:3" x14ac:dyDescent="0.25">
      <c r="B670" t="str">
        <f>IF('Data Kumpulan'!B677=1,"Perkotaan","Pedesaan")</f>
        <v>Pedesaan</v>
      </c>
      <c r="C670" s="7">
        <v>25.937664434794801</v>
      </c>
    </row>
    <row r="671" spans="2:3" x14ac:dyDescent="0.25">
      <c r="B671" t="str">
        <f>IF('Data Kumpulan'!B678=1,"Perkotaan","Pedesaan")</f>
        <v>Perkotaan</v>
      </c>
      <c r="C671" s="7">
        <v>723.85608453378404</v>
      </c>
    </row>
    <row r="672" spans="2:3" x14ac:dyDescent="0.25">
      <c r="B672" t="str">
        <f>IF('Data Kumpulan'!B679=1,"Perkotaan","Pedesaan")</f>
        <v>Pedesaan</v>
      </c>
      <c r="C672" s="7">
        <v>419.66811656445401</v>
      </c>
    </row>
    <row r="673" spans="2:3" x14ac:dyDescent="0.25">
      <c r="B673" t="str">
        <f>IF('Data Kumpulan'!B680=1,"Perkotaan","Pedesaan")</f>
        <v>Perkotaan</v>
      </c>
      <c r="C673" s="7">
        <v>1169.3334713658001</v>
      </c>
    </row>
    <row r="674" spans="2:3" x14ac:dyDescent="0.25">
      <c r="B674" t="str">
        <f>IF('Data Kumpulan'!B681=1,"Perkotaan","Pedesaan")</f>
        <v>Pedesaan</v>
      </c>
      <c r="C674" s="7">
        <v>24.182279281719701</v>
      </c>
    </row>
    <row r="675" spans="2:3" x14ac:dyDescent="0.25">
      <c r="B675" t="str">
        <f>IF('Data Kumpulan'!B682=1,"Perkotaan","Pedesaan")</f>
        <v>Pedesaan</v>
      </c>
      <c r="C675" s="7">
        <v>157.589683236181</v>
      </c>
    </row>
    <row r="676" spans="2:3" x14ac:dyDescent="0.25">
      <c r="B676" t="str">
        <f>IF('Data Kumpulan'!B683=1,"Perkotaan","Pedesaan")</f>
        <v>Pedesaan</v>
      </c>
      <c r="C676" s="7">
        <v>256.67616675484197</v>
      </c>
    </row>
    <row r="677" spans="2:3" x14ac:dyDescent="0.25">
      <c r="B677" t="str">
        <f>IF('Data Kumpulan'!B684=1,"Perkotaan","Pedesaan")</f>
        <v>Perkotaan</v>
      </c>
      <c r="C677" s="7">
        <v>666.36415931286797</v>
      </c>
    </row>
    <row r="678" spans="2:3" x14ac:dyDescent="0.25">
      <c r="B678" t="str">
        <f>IF('Data Kumpulan'!B685=1,"Perkotaan","Pedesaan")</f>
        <v>Perkotaan</v>
      </c>
      <c r="C678" s="7">
        <v>920.98336907041801</v>
      </c>
    </row>
    <row r="679" spans="2:3" x14ac:dyDescent="0.25">
      <c r="B679" t="str">
        <f>IF('Data Kumpulan'!B686=1,"Perkotaan","Pedesaan")</f>
        <v>Pedesaan</v>
      </c>
      <c r="C679" s="7">
        <v>85.803033823135294</v>
      </c>
    </row>
    <row r="680" spans="2:3" x14ac:dyDescent="0.25">
      <c r="B680" t="str">
        <f>IF('Data Kumpulan'!B687=1,"Perkotaan","Pedesaan")</f>
        <v>Perkotaan</v>
      </c>
      <c r="C680" s="7">
        <v>1522.14735359305</v>
      </c>
    </row>
    <row r="681" spans="2:3" x14ac:dyDescent="0.25">
      <c r="B681" t="str">
        <f>IF('Data Kumpulan'!B688=1,"Perkotaan","Pedesaan")</f>
        <v>Perkotaan</v>
      </c>
      <c r="C681" s="7">
        <v>697.69245566250402</v>
      </c>
    </row>
    <row r="682" spans="2:3" x14ac:dyDescent="0.25">
      <c r="B682" t="str">
        <f>IF('Data Kumpulan'!B689=1,"Perkotaan","Pedesaan")</f>
        <v>Pedesaan</v>
      </c>
      <c r="C682" s="7">
        <v>1697.10820502771</v>
      </c>
    </row>
    <row r="683" spans="2:3" x14ac:dyDescent="0.25">
      <c r="B683" t="str">
        <f>IF('Data Kumpulan'!B690=1,"Perkotaan","Pedesaan")</f>
        <v>Pedesaan</v>
      </c>
      <c r="C683" s="7">
        <v>128.45401939376501</v>
      </c>
    </row>
    <row r="684" spans="2:3" x14ac:dyDescent="0.25">
      <c r="B684" t="str">
        <f>IF('Data Kumpulan'!B691=1,"Perkotaan","Pedesaan")</f>
        <v>Perkotaan</v>
      </c>
      <c r="C684" s="7">
        <v>605.42959115962606</v>
      </c>
    </row>
    <row r="685" spans="2:3" x14ac:dyDescent="0.25">
      <c r="B685" t="str">
        <f>IF('Data Kumpulan'!B692=1,"Perkotaan","Pedesaan")</f>
        <v>Pedesaan</v>
      </c>
      <c r="C685" s="7">
        <v>30.422618656173</v>
      </c>
    </row>
    <row r="686" spans="2:3" x14ac:dyDescent="0.25">
      <c r="B686" t="str">
        <f>IF('Data Kumpulan'!B693=1,"Perkotaan","Pedesaan")</f>
        <v>Pedesaan</v>
      </c>
      <c r="C686" s="7">
        <v>440.30440360155802</v>
      </c>
    </row>
    <row r="687" spans="2:3" x14ac:dyDescent="0.25">
      <c r="B687" t="str">
        <f>IF('Data Kumpulan'!B694=1,"Perkotaan","Pedesaan")</f>
        <v>Pedesaan</v>
      </c>
      <c r="C687" s="7">
        <v>136.97179553674201</v>
      </c>
    </row>
    <row r="688" spans="2:3" x14ac:dyDescent="0.25">
      <c r="B688" t="str">
        <f>IF('Data Kumpulan'!B695=1,"Perkotaan","Pedesaan")</f>
        <v>Pedesaan</v>
      </c>
      <c r="C688" s="7">
        <v>642.51302114553903</v>
      </c>
    </row>
    <row r="689" spans="2:3" x14ac:dyDescent="0.25">
      <c r="B689" t="str">
        <f>IF('Data Kumpulan'!B696=1,"Perkotaan","Pedesaan")</f>
        <v>Perkotaan</v>
      </c>
      <c r="C689" s="7">
        <v>906.50815566279596</v>
      </c>
    </row>
    <row r="690" spans="2:3" x14ac:dyDescent="0.25">
      <c r="B690" t="str">
        <f>IF('Data Kumpulan'!B697=1,"Perkotaan","Pedesaan")</f>
        <v>Perkotaan</v>
      </c>
      <c r="C690" s="7">
        <v>1192.16270369074</v>
      </c>
    </row>
    <row r="691" spans="2:3" x14ac:dyDescent="0.25">
      <c r="B691" t="str">
        <f>IF('Data Kumpulan'!B698=1,"Perkotaan","Pedesaan")</f>
        <v>Perkotaan</v>
      </c>
      <c r="C691" s="7">
        <v>676.33585849018004</v>
      </c>
    </row>
    <row r="692" spans="2:3" x14ac:dyDescent="0.25">
      <c r="B692" t="str">
        <f>IF('Data Kumpulan'!B699=1,"Perkotaan","Pedesaan")</f>
        <v>Pedesaan</v>
      </c>
      <c r="C692" s="7">
        <v>254.371285068985</v>
      </c>
    </row>
    <row r="693" spans="2:3" x14ac:dyDescent="0.25">
      <c r="B693" t="str">
        <f>IF('Data Kumpulan'!B700=1,"Perkotaan","Pedesaan")</f>
        <v>Pedesaan</v>
      </c>
      <c r="C693" s="7">
        <v>28.114027673149099</v>
      </c>
    </row>
    <row r="694" spans="2:3" x14ac:dyDescent="0.25">
      <c r="B694" t="str">
        <f>IF('Data Kumpulan'!B701=1,"Perkotaan","Pedesaan")</f>
        <v>Pedesaan</v>
      </c>
      <c r="C694" s="7">
        <v>28.2079452674094</v>
      </c>
    </row>
    <row r="695" spans="2:3" x14ac:dyDescent="0.25">
      <c r="B695" t="str">
        <f>IF('Data Kumpulan'!B702=1,"Perkotaan","Pedesaan")</f>
        <v>Pedesaan</v>
      </c>
      <c r="C695" s="7">
        <v>301.58373532900902</v>
      </c>
    </row>
    <row r="696" spans="2:3" x14ac:dyDescent="0.25">
      <c r="B696" t="str">
        <f>IF('Data Kumpulan'!B703=1,"Perkotaan","Pedesaan")</f>
        <v>Pedesaan</v>
      </c>
      <c r="C696" s="7">
        <v>147.33439814235899</v>
      </c>
    </row>
    <row r="697" spans="2:3" x14ac:dyDescent="0.25">
      <c r="B697" t="str">
        <f>IF('Data Kumpulan'!B704=1,"Perkotaan","Pedesaan")</f>
        <v>Pedesaan</v>
      </c>
      <c r="C697" s="7">
        <v>419.15427101463001</v>
      </c>
    </row>
    <row r="698" spans="2:3" x14ac:dyDescent="0.25">
      <c r="B698" t="str">
        <f>IF('Data Kumpulan'!B705=1,"Perkotaan","Pedesaan")</f>
        <v>Pedesaan</v>
      </c>
      <c r="C698" s="7">
        <v>470.13431932781202</v>
      </c>
    </row>
    <row r="699" spans="2:3" x14ac:dyDescent="0.25">
      <c r="B699" t="str">
        <f>IF('Data Kumpulan'!B706=1,"Perkotaan","Pedesaan")</f>
        <v>Pedesaan</v>
      </c>
      <c r="C699" s="7">
        <v>584.276954620482</v>
      </c>
    </row>
    <row r="700" spans="2:3" x14ac:dyDescent="0.25">
      <c r="B700" t="str">
        <f>IF('Data Kumpulan'!B707=1,"Perkotaan","Pedesaan")</f>
        <v>Pedesaan</v>
      </c>
      <c r="C700" s="7">
        <v>444.13252235530302</v>
      </c>
    </row>
    <row r="701" spans="2:3" x14ac:dyDescent="0.25">
      <c r="B701" t="str">
        <f>IF('Data Kumpulan'!B708=1,"Perkotaan","Pedesaan")</f>
        <v>Pedesaan</v>
      </c>
      <c r="C701" s="7">
        <v>529.59479039122095</v>
      </c>
    </row>
    <row r="702" spans="2:3" x14ac:dyDescent="0.25">
      <c r="B702" t="str">
        <f>IF('Data Kumpulan'!B709=1,"Perkotaan","Pedesaan")</f>
        <v>Perkotaan</v>
      </c>
      <c r="C702" s="7">
        <v>1214.88995999742</v>
      </c>
    </row>
    <row r="703" spans="2:3" x14ac:dyDescent="0.25">
      <c r="B703" t="str">
        <f>IF('Data Kumpulan'!B710=1,"Perkotaan","Pedesaan")</f>
        <v>Perkotaan</v>
      </c>
      <c r="C703" s="7">
        <v>1440.10046398602</v>
      </c>
    </row>
    <row r="704" spans="2:3" x14ac:dyDescent="0.25">
      <c r="B704" t="str">
        <f>IF('Data Kumpulan'!B711=1,"Perkotaan","Pedesaan")</f>
        <v>Perkotaan</v>
      </c>
      <c r="C704" s="7">
        <v>527.01324612905796</v>
      </c>
    </row>
    <row r="705" spans="2:3" x14ac:dyDescent="0.25">
      <c r="B705" t="str">
        <f>IF('Data Kumpulan'!B712=1,"Perkotaan","Pedesaan")</f>
        <v>Pedesaan</v>
      </c>
      <c r="C705" s="7">
        <v>335.43278581112702</v>
      </c>
    </row>
    <row r="706" spans="2:3" x14ac:dyDescent="0.25">
      <c r="B706" t="str">
        <f>IF('Data Kumpulan'!B713=1,"Perkotaan","Pedesaan")</f>
        <v>Perkotaan</v>
      </c>
      <c r="C706" s="7">
        <v>548.37216348051902</v>
      </c>
    </row>
    <row r="707" spans="2:3" x14ac:dyDescent="0.25">
      <c r="B707" t="str">
        <f>IF('Data Kumpulan'!B714=1,"Perkotaan","Pedesaan")</f>
        <v>Pedesaan</v>
      </c>
      <c r="C707" s="7">
        <v>555.61114122700906</v>
      </c>
    </row>
    <row r="708" spans="2:3" x14ac:dyDescent="0.25">
      <c r="B708" t="str">
        <f>IF('Data Kumpulan'!B715=1,"Perkotaan","Pedesaan")</f>
        <v>Pedesaan</v>
      </c>
      <c r="C708" s="7">
        <v>470.57976489574497</v>
      </c>
    </row>
    <row r="709" spans="2:3" x14ac:dyDescent="0.25">
      <c r="B709" t="str">
        <f>IF('Data Kumpulan'!B716=1,"Perkotaan","Pedesaan")</f>
        <v>Pedesaan</v>
      </c>
      <c r="C709" s="7">
        <v>229.32361335217001</v>
      </c>
    </row>
    <row r="710" spans="2:3" x14ac:dyDescent="0.25">
      <c r="B710" t="str">
        <f>IF('Data Kumpulan'!B717=1,"Perkotaan","Pedesaan")</f>
        <v>Pedesaan</v>
      </c>
      <c r="C710" s="7">
        <v>766.31159554361102</v>
      </c>
    </row>
    <row r="711" spans="2:3" x14ac:dyDescent="0.25">
      <c r="B711" t="str">
        <f>IF('Data Kumpulan'!B718=1,"Perkotaan","Pedesaan")</f>
        <v>Perkotaan</v>
      </c>
      <c r="C711" s="7">
        <v>236.67820582853599</v>
      </c>
    </row>
    <row r="712" spans="2:3" x14ac:dyDescent="0.25">
      <c r="B712" t="str">
        <f>IF('Data Kumpulan'!B719=1,"Perkotaan","Pedesaan")</f>
        <v>Perkotaan</v>
      </c>
      <c r="C712" s="7">
        <v>527.03251616710895</v>
      </c>
    </row>
    <row r="713" spans="2:3" x14ac:dyDescent="0.25">
      <c r="B713" t="str">
        <f>IF('Data Kumpulan'!B720=1,"Perkotaan","Pedesaan")</f>
        <v>Perkotaan</v>
      </c>
      <c r="C713" s="7">
        <v>957.88710760736501</v>
      </c>
    </row>
    <row r="714" spans="2:3" x14ac:dyDescent="0.25">
      <c r="B714" t="str">
        <f>IF('Data Kumpulan'!B721=1,"Perkotaan","Pedesaan")</f>
        <v>Pedesaan</v>
      </c>
      <c r="C714" s="7">
        <v>417.62675417712302</v>
      </c>
    </row>
    <row r="715" spans="2:3" x14ac:dyDescent="0.25">
      <c r="B715" t="str">
        <f>IF('Data Kumpulan'!B722=1,"Perkotaan","Pedesaan")</f>
        <v>Perkotaan</v>
      </c>
      <c r="C715" s="7">
        <v>745.18757508960095</v>
      </c>
    </row>
    <row r="716" spans="2:3" x14ac:dyDescent="0.25">
      <c r="B716" t="str">
        <f>IF('Data Kumpulan'!B723=1,"Perkotaan","Pedesaan")</f>
        <v>Perkotaan</v>
      </c>
      <c r="C716" s="7">
        <v>878.17652916881104</v>
      </c>
    </row>
    <row r="717" spans="2:3" x14ac:dyDescent="0.25">
      <c r="B717" t="str">
        <f>IF('Data Kumpulan'!B724=1,"Perkotaan","Pedesaan")</f>
        <v>Perkotaan</v>
      </c>
      <c r="C717" s="7">
        <v>471.34087985437901</v>
      </c>
    </row>
    <row r="718" spans="2:3" x14ac:dyDescent="0.25">
      <c r="B718" t="str">
        <f>IF('Data Kumpulan'!B725=1,"Perkotaan","Pedesaan")</f>
        <v>Perkotaan</v>
      </c>
      <c r="C718" s="7">
        <v>1130.65057855803</v>
      </c>
    </row>
    <row r="719" spans="2:3" x14ac:dyDescent="0.25">
      <c r="B719" t="str">
        <f>IF('Data Kumpulan'!B726=1,"Perkotaan","Pedesaan")</f>
        <v>Perkotaan</v>
      </c>
      <c r="C719" s="7">
        <v>1987.6184549878601</v>
      </c>
    </row>
    <row r="720" spans="2:3" x14ac:dyDescent="0.25">
      <c r="B720" t="str">
        <f>IF('Data Kumpulan'!B727=1,"Perkotaan","Pedesaan")</f>
        <v>Perkotaan</v>
      </c>
      <c r="C720" s="7">
        <v>631.73879658915905</v>
      </c>
    </row>
    <row r="721" spans="2:3" x14ac:dyDescent="0.25">
      <c r="B721" t="str">
        <f>IF('Data Kumpulan'!B728=1,"Perkotaan","Pedesaan")</f>
        <v>Pedesaan</v>
      </c>
      <c r="C721" s="7">
        <v>1153.15314838021</v>
      </c>
    </row>
    <row r="722" spans="2:3" x14ac:dyDescent="0.25">
      <c r="B722" t="str">
        <f>IF('Data Kumpulan'!B729=1,"Perkotaan","Pedesaan")</f>
        <v>Perkotaan</v>
      </c>
      <c r="C722" s="7">
        <v>1074.77386591103</v>
      </c>
    </row>
    <row r="723" spans="2:3" x14ac:dyDescent="0.25">
      <c r="B723" t="str">
        <f>IF('Data Kumpulan'!B730=1,"Perkotaan","Pedesaan")</f>
        <v>Perkotaan</v>
      </c>
      <c r="C723" s="7">
        <v>693.32812963231402</v>
      </c>
    </row>
    <row r="724" spans="2:3" x14ac:dyDescent="0.25">
      <c r="B724" t="str">
        <f>IF('Data Kumpulan'!B732=1,"Perkotaan","Pedesaan")</f>
        <v>Perkotaan</v>
      </c>
      <c r="C724" s="7">
        <v>1061.6755892763999</v>
      </c>
    </row>
    <row r="725" spans="2:3" x14ac:dyDescent="0.25">
      <c r="B725" t="str">
        <f>IF('Data Kumpulan'!B733=1,"Perkotaan","Pedesaan")</f>
        <v>Pedesaan</v>
      </c>
      <c r="C725" s="7">
        <v>359.11298900631903</v>
      </c>
    </row>
    <row r="726" spans="2:3" x14ac:dyDescent="0.25">
      <c r="B726" t="str">
        <f>IF('Data Kumpulan'!B734=1,"Perkotaan","Pedesaan")</f>
        <v>Pedesaan</v>
      </c>
      <c r="C726" s="7">
        <v>875.46736027033705</v>
      </c>
    </row>
    <row r="727" spans="2:3" x14ac:dyDescent="0.25">
      <c r="B727" t="str">
        <f>IF('Data Kumpulan'!B735=1,"Perkotaan","Pedesaan")</f>
        <v>Pedesaan</v>
      </c>
      <c r="C727" s="7">
        <v>624.82721240334797</v>
      </c>
    </row>
    <row r="728" spans="2:3" x14ac:dyDescent="0.25">
      <c r="B728" t="str">
        <f>IF('Data Kumpulan'!B736=1,"Perkotaan","Pedesaan")</f>
        <v>Perkotaan</v>
      </c>
      <c r="C728" s="7">
        <v>1054.5632933141001</v>
      </c>
    </row>
    <row r="729" spans="2:3" x14ac:dyDescent="0.25">
      <c r="B729" t="str">
        <f>IF('Data Kumpulan'!B737=1,"Perkotaan","Pedesaan")</f>
        <v>Pedesaan</v>
      </c>
      <c r="C729" s="7">
        <v>1117.28376234181</v>
      </c>
    </row>
    <row r="730" spans="2:3" x14ac:dyDescent="0.25">
      <c r="B730" t="str">
        <f>IF('Data Kumpulan'!B738=1,"Perkotaan","Pedesaan")</f>
        <v>Pedesaan</v>
      </c>
      <c r="C730" s="7">
        <v>1582.39533488232</v>
      </c>
    </row>
    <row r="731" spans="2:3" x14ac:dyDescent="0.25">
      <c r="B731" t="str">
        <f>IF('Data Kumpulan'!B739=1,"Perkotaan","Pedesaan")</f>
        <v>Pedesaan</v>
      </c>
      <c r="C731" s="7">
        <v>333.05427363857098</v>
      </c>
    </row>
    <row r="732" spans="2:3" x14ac:dyDescent="0.25">
      <c r="B732" t="str">
        <f>IF('Data Kumpulan'!B740=1,"Perkotaan","Pedesaan")</f>
        <v>Perkotaan</v>
      </c>
      <c r="C732" s="7">
        <v>644.64177435433896</v>
      </c>
    </row>
    <row r="733" spans="2:3" x14ac:dyDescent="0.25">
      <c r="B733" t="str">
        <f>IF('Data Kumpulan'!B741=1,"Perkotaan","Pedesaan")</f>
        <v>Pedesaan</v>
      </c>
      <c r="C733" s="7">
        <v>654.41795121245605</v>
      </c>
    </row>
    <row r="734" spans="2:3" x14ac:dyDescent="0.25">
      <c r="B734" t="str">
        <f>IF('Data Kumpulan'!B742=1,"Perkotaan","Pedesaan")</f>
        <v>Perkotaan</v>
      </c>
      <c r="C734" s="7">
        <v>441.59306454833302</v>
      </c>
    </row>
    <row r="735" spans="2:3" x14ac:dyDescent="0.25">
      <c r="B735" t="str">
        <f>IF('Data Kumpulan'!B743=1,"Perkotaan","Pedesaan")</f>
        <v>Perkotaan</v>
      </c>
      <c r="C735" s="7">
        <v>459.73821153829402</v>
      </c>
    </row>
    <row r="736" spans="2:3" x14ac:dyDescent="0.25">
      <c r="B736" t="str">
        <f>IF('Data Kumpulan'!B744=1,"Perkotaan","Pedesaan")</f>
        <v>Perkotaan</v>
      </c>
      <c r="C736" s="7">
        <v>569.67938841711305</v>
      </c>
    </row>
    <row r="737" spans="2:3" x14ac:dyDescent="0.25">
      <c r="B737" t="str">
        <f>IF('Data Kumpulan'!B745=1,"Perkotaan","Pedesaan")</f>
        <v>Perkotaan</v>
      </c>
      <c r="C737" s="7">
        <v>322.62083304921401</v>
      </c>
    </row>
    <row r="738" spans="2:3" x14ac:dyDescent="0.25">
      <c r="B738" t="str">
        <f>IF('Data Kumpulan'!B746=1,"Perkotaan","Pedesaan")</f>
        <v>Perkotaan</v>
      </c>
      <c r="C738" s="7">
        <v>854.71756107760496</v>
      </c>
    </row>
    <row r="739" spans="2:3" x14ac:dyDescent="0.25">
      <c r="B739" t="str">
        <f>IF('Data Kumpulan'!B747=1,"Perkotaan","Pedesaan")</f>
        <v>Pedesaan</v>
      </c>
      <c r="C739" s="7">
        <v>289.70449952955602</v>
      </c>
    </row>
    <row r="740" spans="2:3" x14ac:dyDescent="0.25">
      <c r="B740" t="str">
        <f>IF('Data Kumpulan'!B748=1,"Perkotaan","Pedesaan")</f>
        <v>Perkotaan</v>
      </c>
      <c r="C740" s="7">
        <v>143.890566400544</v>
      </c>
    </row>
    <row r="741" spans="2:3" x14ac:dyDescent="0.25">
      <c r="B741" t="str">
        <f>IF('Data Kumpulan'!B749=1,"Perkotaan","Pedesaan")</f>
        <v>Perkotaan</v>
      </c>
      <c r="C741" s="7">
        <v>273.71677012094102</v>
      </c>
    </row>
    <row r="742" spans="2:3" x14ac:dyDescent="0.25">
      <c r="B742" t="str">
        <f>IF('Data Kumpulan'!B750=1,"Perkotaan","Pedesaan")</f>
        <v>Pedesaan</v>
      </c>
      <c r="C742" s="7">
        <v>311.05881469697601</v>
      </c>
    </row>
    <row r="743" spans="2:3" x14ac:dyDescent="0.25">
      <c r="B743" t="str">
        <f>IF('Data Kumpulan'!B751=1,"Perkotaan","Pedesaan")</f>
        <v>Pedesaan</v>
      </c>
      <c r="C743" s="7">
        <v>1173.9266013595</v>
      </c>
    </row>
    <row r="744" spans="2:3" x14ac:dyDescent="0.25">
      <c r="B744" t="str">
        <f>IF('Data Kumpulan'!B752=1,"Perkotaan","Pedesaan")</f>
        <v>Pedesaan</v>
      </c>
      <c r="C744" s="7">
        <v>485.19231343075501</v>
      </c>
    </row>
    <row r="745" spans="2:3" x14ac:dyDescent="0.25">
      <c r="B745" t="str">
        <f>IF('Data Kumpulan'!B753=1,"Perkotaan","Pedesaan")</f>
        <v>Perkotaan</v>
      </c>
      <c r="C745" s="7">
        <v>858.92127649936594</v>
      </c>
    </row>
    <row r="746" spans="2:3" x14ac:dyDescent="0.25">
      <c r="B746" t="str">
        <f>IF('Data Kumpulan'!B754=1,"Perkotaan","Pedesaan")</f>
        <v>Pedesaan</v>
      </c>
      <c r="C746" s="7">
        <v>185.084126336341</v>
      </c>
    </row>
    <row r="747" spans="2:3" x14ac:dyDescent="0.25">
      <c r="B747" t="str">
        <f>IF('Data Kumpulan'!B755=1,"Perkotaan","Pedesaan")</f>
        <v>Perkotaan</v>
      </c>
      <c r="C747" s="7">
        <v>764.05917906486297</v>
      </c>
    </row>
    <row r="748" spans="2:3" x14ac:dyDescent="0.25">
      <c r="B748" t="str">
        <f>IF('Data Kumpulan'!B756=1,"Perkotaan","Pedesaan")</f>
        <v>Pedesaan</v>
      </c>
      <c r="C748" s="7">
        <v>200.773939771008</v>
      </c>
    </row>
    <row r="749" spans="2:3" x14ac:dyDescent="0.25">
      <c r="B749" t="str">
        <f>IF('Data Kumpulan'!B757=1,"Perkotaan","Pedesaan")</f>
        <v>Pedesaan</v>
      </c>
      <c r="C749" s="7">
        <v>253.206249099953</v>
      </c>
    </row>
    <row r="750" spans="2:3" x14ac:dyDescent="0.25">
      <c r="B750" t="str">
        <f>IF('Data Kumpulan'!B758=1,"Perkotaan","Pedesaan")</f>
        <v>Pedesaan</v>
      </c>
      <c r="C750" s="7">
        <v>162.50912534650001</v>
      </c>
    </row>
    <row r="751" spans="2:3" x14ac:dyDescent="0.25">
      <c r="B751" t="str">
        <f>IF('Data Kumpulan'!B759=1,"Perkotaan","Pedesaan")</f>
        <v>Perkotaan</v>
      </c>
      <c r="C751" s="7">
        <v>758.43716332959502</v>
      </c>
    </row>
    <row r="752" spans="2:3" x14ac:dyDescent="0.25">
      <c r="B752" t="str">
        <f>IF('Data Kumpulan'!B760=1,"Perkotaan","Pedesaan")</f>
        <v>Pedesaan</v>
      </c>
      <c r="C752" s="7">
        <v>716.41576124263895</v>
      </c>
    </row>
    <row r="753" spans="2:3" x14ac:dyDescent="0.25">
      <c r="B753" t="str">
        <f>IF('Data Kumpulan'!B761=1,"Perkotaan","Pedesaan")</f>
        <v>Perkotaan</v>
      </c>
      <c r="C753" s="7">
        <v>1398.0049843368499</v>
      </c>
    </row>
    <row r="754" spans="2:3" x14ac:dyDescent="0.25">
      <c r="B754" t="str">
        <f>IF('Data Kumpulan'!B762=1,"Perkotaan","Pedesaan")</f>
        <v>Pedesaan</v>
      </c>
      <c r="C754" s="7">
        <v>325.30918889281202</v>
      </c>
    </row>
    <row r="755" spans="2:3" x14ac:dyDescent="0.25">
      <c r="B755" t="str">
        <f>IF('Data Kumpulan'!B763=1,"Perkotaan","Pedesaan")</f>
        <v>Perkotaan</v>
      </c>
      <c r="C755" s="7">
        <v>179.86320800068</v>
      </c>
    </row>
    <row r="756" spans="2:3" x14ac:dyDescent="0.25">
      <c r="B756" t="str">
        <f>IF('Data Kumpulan'!B764=1,"Perkotaan","Pedesaan")</f>
        <v>Perkotaan</v>
      </c>
      <c r="C756" s="7">
        <v>2106.0099552164202</v>
      </c>
    </row>
    <row r="757" spans="2:3" x14ac:dyDescent="0.25">
      <c r="B757" t="str">
        <f>IF('Data Kumpulan'!B765=1,"Perkotaan","Pedesaan")</f>
        <v>Perkotaan</v>
      </c>
      <c r="C757" s="7">
        <v>313.850472315388</v>
      </c>
    </row>
    <row r="758" spans="2:3" x14ac:dyDescent="0.25">
      <c r="B758" t="str">
        <f>IF('Data Kumpulan'!B766=1,"Perkotaan","Pedesaan")</f>
        <v>Perkotaan</v>
      </c>
      <c r="C758" s="7">
        <v>526.57051075724303</v>
      </c>
    </row>
    <row r="759" spans="2:3" x14ac:dyDescent="0.25">
      <c r="B759" t="str">
        <f>IF('Data Kumpulan'!B767=1,"Perkotaan","Pedesaan")</f>
        <v>Pedesaan</v>
      </c>
      <c r="C759" s="7">
        <v>755.91993952985695</v>
      </c>
    </row>
    <row r="760" spans="2:3" x14ac:dyDescent="0.25">
      <c r="B760" t="str">
        <f>IF('Data Kumpulan'!B768=1,"Perkotaan","Pedesaan")</f>
        <v>Perkotaan</v>
      </c>
      <c r="C760" s="7">
        <v>1011.3617107019199</v>
      </c>
    </row>
    <row r="761" spans="2:3" x14ac:dyDescent="0.25">
      <c r="B761" t="str">
        <f>IF('Data Kumpulan'!B769=1,"Perkotaan","Pedesaan")</f>
        <v>Perkotaan</v>
      </c>
      <c r="C761" s="7">
        <v>1220.44277514747</v>
      </c>
    </row>
    <row r="762" spans="2:3" x14ac:dyDescent="0.25">
      <c r="B762" t="str">
        <f>IF('Data Kumpulan'!B770=1,"Perkotaan","Pedesaan")</f>
        <v>Pedesaan</v>
      </c>
      <c r="C762" s="7">
        <v>128.16042221088099</v>
      </c>
    </row>
    <row r="763" spans="2:3" x14ac:dyDescent="0.25">
      <c r="B763" t="str">
        <f>IF('Data Kumpulan'!B771=1,"Perkotaan","Pedesaan")</f>
        <v>Pedesaan</v>
      </c>
      <c r="C763" s="7">
        <v>26.967576132627201</v>
      </c>
    </row>
    <row r="764" spans="2:3" x14ac:dyDescent="0.25">
      <c r="B764" t="str">
        <f>IF('Data Kumpulan'!B772=1,"Perkotaan","Pedesaan")</f>
        <v>Pedesaan</v>
      </c>
      <c r="C764" s="7">
        <v>810.60478460420995</v>
      </c>
    </row>
    <row r="765" spans="2:3" x14ac:dyDescent="0.25">
      <c r="B765" t="str">
        <f>IF('Data Kumpulan'!B773=1,"Perkotaan","Pedesaan")</f>
        <v>Pedesaan</v>
      </c>
      <c r="C765" s="7">
        <v>91.741886162332904</v>
      </c>
    </row>
    <row r="766" spans="2:3" x14ac:dyDescent="0.25">
      <c r="B766" t="str">
        <f>IF('Data Kumpulan'!B774=1,"Perkotaan","Pedesaan")</f>
        <v>Perkotaan</v>
      </c>
      <c r="C766" s="7">
        <v>657.05917442760403</v>
      </c>
    </row>
    <row r="767" spans="2:3" x14ac:dyDescent="0.25">
      <c r="B767" t="str">
        <f>IF('Data Kumpulan'!B775=1,"Perkotaan","Pedesaan")</f>
        <v>Perkotaan</v>
      </c>
      <c r="C767" s="7">
        <v>810.95314101644897</v>
      </c>
    </row>
    <row r="768" spans="2:3" x14ac:dyDescent="0.25">
      <c r="B768" t="str">
        <f>IF('Data Kumpulan'!B776=1,"Perkotaan","Pedesaan")</f>
        <v>Pedesaan</v>
      </c>
      <c r="C768" s="7">
        <v>675.05791991145202</v>
      </c>
    </row>
    <row r="769" spans="2:3" x14ac:dyDescent="0.25">
      <c r="B769" t="str">
        <f>IF('Data Kumpulan'!B777=1,"Perkotaan","Pedesaan")</f>
        <v>Pedesaan</v>
      </c>
      <c r="C769" s="7">
        <v>878.24662042507396</v>
      </c>
    </row>
    <row r="770" spans="2:3" x14ac:dyDescent="0.25">
      <c r="B770" t="str">
        <f>IF('Data Kumpulan'!B778=1,"Perkotaan","Pedesaan")</f>
        <v>Perkotaan</v>
      </c>
      <c r="C770" s="7">
        <v>276.24638540074301</v>
      </c>
    </row>
    <row r="771" spans="2:3" x14ac:dyDescent="0.25">
      <c r="B771" t="str">
        <f>IF('Data Kumpulan'!B779=1,"Perkotaan","Pedesaan")</f>
        <v>Perkotaan</v>
      </c>
      <c r="C771" s="7">
        <v>646.09834339774295</v>
      </c>
    </row>
    <row r="772" spans="2:3" x14ac:dyDescent="0.25">
      <c r="B772" t="str">
        <f>IF('Data Kumpulan'!B780=1,"Perkotaan","Pedesaan")</f>
        <v>Perkotaan</v>
      </c>
      <c r="C772" s="7">
        <v>422.76844825754301</v>
      </c>
    </row>
    <row r="773" spans="2:3" x14ac:dyDescent="0.25">
      <c r="B773" t="str">
        <f>IF('Data Kumpulan'!B781=1,"Perkotaan","Pedesaan")</f>
        <v>Pedesaan</v>
      </c>
      <c r="C773" s="7">
        <v>133.815086100256</v>
      </c>
    </row>
    <row r="774" spans="2:3" x14ac:dyDescent="0.25">
      <c r="B774" t="str">
        <f>IF('Data Kumpulan'!B782=1,"Perkotaan","Pedesaan")</f>
        <v>Pedesaan</v>
      </c>
      <c r="C774" s="7">
        <v>25.552002368854701</v>
      </c>
    </row>
    <row r="775" spans="2:3" x14ac:dyDescent="0.25">
      <c r="B775" t="str">
        <f>IF('Data Kumpulan'!B783=1,"Perkotaan","Pedesaan")</f>
        <v>Perkotaan</v>
      </c>
      <c r="C775" s="7">
        <v>1405.95213912124</v>
      </c>
    </row>
    <row r="776" spans="2:3" x14ac:dyDescent="0.25">
      <c r="B776" t="str">
        <f>IF('Data Kumpulan'!B784=1,"Perkotaan","Pedesaan")</f>
        <v>Perkotaan</v>
      </c>
      <c r="C776" s="7">
        <v>1235.5574847212299</v>
      </c>
    </row>
    <row r="777" spans="2:3" x14ac:dyDescent="0.25">
      <c r="B777" t="str">
        <f>IF('Data Kumpulan'!B785=1,"Perkotaan","Pedesaan")</f>
        <v>Perkotaan</v>
      </c>
      <c r="C777" s="7">
        <v>807.70725404503105</v>
      </c>
    </row>
    <row r="778" spans="2:3" x14ac:dyDescent="0.25">
      <c r="B778" t="str">
        <f>IF('Data Kumpulan'!B786=1,"Perkotaan","Pedesaan")</f>
        <v>Pedesaan</v>
      </c>
      <c r="C778" s="7">
        <v>73.765240909357104</v>
      </c>
    </row>
    <row r="779" spans="2:3" x14ac:dyDescent="0.25">
      <c r="B779" t="str">
        <f>IF('Data Kumpulan'!B787=1,"Perkotaan","Pedesaan")</f>
        <v>Pedesaan</v>
      </c>
      <c r="C779" s="7">
        <v>808.02793786285997</v>
      </c>
    </row>
    <row r="780" spans="2:3" x14ac:dyDescent="0.25">
      <c r="B780" t="str">
        <f>IF('Data Kumpulan'!B788=1,"Perkotaan","Pedesaan")</f>
        <v>Pedesaan</v>
      </c>
      <c r="C780" s="7">
        <v>316.78460321599403</v>
      </c>
    </row>
    <row r="781" spans="2:3" x14ac:dyDescent="0.25">
      <c r="B781" t="str">
        <f>IF('Data Kumpulan'!B789=1,"Perkotaan","Pedesaan")</f>
        <v>Perkotaan</v>
      </c>
      <c r="C781" s="7">
        <v>420.19052330679602</v>
      </c>
    </row>
    <row r="782" spans="2:3" x14ac:dyDescent="0.25">
      <c r="B782" t="str">
        <f>IF('Data Kumpulan'!B790=1,"Perkotaan","Pedesaan")</f>
        <v>Pedesaan</v>
      </c>
      <c r="C782" s="7">
        <v>24.104986169660801</v>
      </c>
    </row>
    <row r="783" spans="2:3" x14ac:dyDescent="0.25">
      <c r="B783" t="str">
        <f>IF('Data Kumpulan'!B791=1,"Perkotaan","Pedesaan")</f>
        <v>Pedesaan</v>
      </c>
      <c r="C783" s="7">
        <v>339.78611537254301</v>
      </c>
    </row>
    <row r="784" spans="2:3" x14ac:dyDescent="0.25">
      <c r="B784" t="str">
        <f>IF('Data Kumpulan'!B792=1,"Perkotaan","Pedesaan")</f>
        <v>Pedesaan</v>
      </c>
      <c r="C784" s="7">
        <v>153.55105994284301</v>
      </c>
    </row>
    <row r="785" spans="2:3" x14ac:dyDescent="0.25">
      <c r="B785" t="str">
        <f>IF('Data Kumpulan'!B793=1,"Perkotaan","Pedesaan")</f>
        <v>Perkotaan</v>
      </c>
      <c r="C785" s="7">
        <v>697.24938906835496</v>
      </c>
    </row>
    <row r="786" spans="2:3" x14ac:dyDescent="0.25">
      <c r="B786" t="str">
        <f>IF('Data Kumpulan'!B794=1,"Perkotaan","Pedesaan")</f>
        <v>Perkotaan</v>
      </c>
      <c r="C786" s="7">
        <v>426.28766320798297</v>
      </c>
    </row>
    <row r="787" spans="2:3" x14ac:dyDescent="0.25">
      <c r="B787" t="str">
        <f>IF('Data Kumpulan'!B795=1,"Perkotaan","Pedesaan")</f>
        <v>Pedesaan</v>
      </c>
      <c r="C787" s="7">
        <v>26.629878399302701</v>
      </c>
    </row>
    <row r="788" spans="2:3" x14ac:dyDescent="0.25">
      <c r="B788" t="str">
        <f>IF('Data Kumpulan'!B796=1,"Perkotaan","Pedesaan")</f>
        <v>Perkotaan</v>
      </c>
      <c r="C788" s="7">
        <v>986.099596324804</v>
      </c>
    </row>
    <row r="789" spans="2:3" x14ac:dyDescent="0.25">
      <c r="B789" t="str">
        <f>IF('Data Kumpulan'!B797=1,"Perkotaan","Pedesaan")</f>
        <v>Perkotaan</v>
      </c>
      <c r="C789" s="7">
        <v>762.95822873825205</v>
      </c>
    </row>
    <row r="790" spans="2:3" x14ac:dyDescent="0.25">
      <c r="B790" t="str">
        <f>IF('Data Kumpulan'!B798=1,"Perkotaan","Pedesaan")</f>
        <v>Perkotaan</v>
      </c>
      <c r="C790" s="7">
        <v>995.20922951524005</v>
      </c>
    </row>
    <row r="791" spans="2:3" x14ac:dyDescent="0.25">
      <c r="B791" t="str">
        <f>IF('Data Kumpulan'!B799=1,"Perkotaan","Pedesaan")</f>
        <v>Perkotaan</v>
      </c>
      <c r="C791" s="7">
        <v>170.192471672295</v>
      </c>
    </row>
    <row r="792" spans="2:3" x14ac:dyDescent="0.25">
      <c r="B792" t="str">
        <f>IF('Data Kumpulan'!B800=1,"Perkotaan","Pedesaan")</f>
        <v>Pedesaan</v>
      </c>
      <c r="C792" s="7">
        <v>22.9095277405765</v>
      </c>
    </row>
    <row r="793" spans="2:3" x14ac:dyDescent="0.25">
      <c r="B793" t="str">
        <f>IF('Data Kumpulan'!B801=1,"Perkotaan","Pedesaan")</f>
        <v>Perkotaan</v>
      </c>
      <c r="C793" s="7">
        <v>526.66882361856995</v>
      </c>
    </row>
    <row r="794" spans="2:3" x14ac:dyDescent="0.25">
      <c r="B794" t="str">
        <f>IF('Data Kumpulan'!B802=1,"Perkotaan","Pedesaan")</f>
        <v>Perkotaan</v>
      </c>
      <c r="C794" s="7">
        <v>1174.91725698144</v>
      </c>
    </row>
    <row r="795" spans="2:3" x14ac:dyDescent="0.25">
      <c r="B795" t="str">
        <f>IF('Data Kumpulan'!B803=1,"Perkotaan","Pedesaan")</f>
        <v>Perkotaan</v>
      </c>
      <c r="C795" s="7">
        <v>144.439663458723</v>
      </c>
    </row>
    <row r="796" spans="2:3" x14ac:dyDescent="0.25">
      <c r="B796" t="str">
        <f>IF('Data Kumpulan'!B804=1,"Perkotaan","Pedesaan")</f>
        <v>Pedesaan</v>
      </c>
      <c r="C796" s="7">
        <v>362.34643319358503</v>
      </c>
    </row>
    <row r="797" spans="2:3" x14ac:dyDescent="0.25">
      <c r="B797" t="str">
        <f>IF('Data Kumpulan'!B805=1,"Perkotaan","Pedesaan")</f>
        <v>Pedesaan</v>
      </c>
      <c r="C797" s="7">
        <v>113.690864194049</v>
      </c>
    </row>
    <row r="798" spans="2:3" x14ac:dyDescent="0.25">
      <c r="B798" t="str">
        <f>IF('Data Kumpulan'!B806=1,"Perkotaan","Pedesaan")</f>
        <v>Pedesaan</v>
      </c>
      <c r="C798" s="7">
        <v>217.839091765706</v>
      </c>
    </row>
    <row r="799" spans="2:3" x14ac:dyDescent="0.25">
      <c r="B799" t="str">
        <f>IF('Data Kumpulan'!B807=1,"Perkotaan","Pedesaan")</f>
        <v>Pedesaan</v>
      </c>
      <c r="C799" s="7">
        <v>870.93704851385905</v>
      </c>
    </row>
    <row r="800" spans="2:3" x14ac:dyDescent="0.25">
      <c r="B800" t="str">
        <f>IF('Data Kumpulan'!B808=1,"Perkotaan","Pedesaan")</f>
        <v>Pedesaan</v>
      </c>
      <c r="C800" s="7">
        <v>369.52509740187702</v>
      </c>
    </row>
    <row r="801" spans="2:3" x14ac:dyDescent="0.25">
      <c r="B801" t="str">
        <f>IF('Data Kumpulan'!B809=1,"Perkotaan","Pedesaan")</f>
        <v>Pedesaan</v>
      </c>
      <c r="C801" s="7">
        <v>834.846743112441</v>
      </c>
    </row>
    <row r="802" spans="2:3" x14ac:dyDescent="0.25">
      <c r="B802" t="str">
        <f>IF('Data Kumpulan'!B810=1,"Perkotaan","Pedesaan")</f>
        <v>Pedesaan</v>
      </c>
      <c r="C802" s="7">
        <v>210.02647189258499</v>
      </c>
    </row>
    <row r="803" spans="2:3" x14ac:dyDescent="0.25">
      <c r="B803" t="str">
        <f>IF('Data Kumpulan'!B811=1,"Perkotaan","Pedesaan")</f>
        <v>Pedesaan</v>
      </c>
      <c r="C803" s="7">
        <v>697.414673419275</v>
      </c>
    </row>
    <row r="804" spans="2:3" x14ac:dyDescent="0.25">
      <c r="B804" t="str">
        <f>IF('Data Kumpulan'!B812=1,"Perkotaan","Pedesaan")</f>
        <v>Pedesaan</v>
      </c>
      <c r="C804" s="7">
        <v>210.279329396051</v>
      </c>
    </row>
    <row r="805" spans="2:3" x14ac:dyDescent="0.25">
      <c r="B805" t="str">
        <f>IF('Data Kumpulan'!B813=1,"Perkotaan","Pedesaan")</f>
        <v>Perkotaan</v>
      </c>
      <c r="C805" s="7">
        <v>613.23928501843795</v>
      </c>
    </row>
    <row r="806" spans="2:3" x14ac:dyDescent="0.25">
      <c r="B806" t="str">
        <f>IF('Data Kumpulan'!B814=1,"Perkotaan","Pedesaan")</f>
        <v>Pedesaan</v>
      </c>
      <c r="C806" s="7">
        <v>265.72573818810503</v>
      </c>
    </row>
    <row r="807" spans="2:3" x14ac:dyDescent="0.25">
      <c r="B807" t="str">
        <f>IF('Data Kumpulan'!B815=1,"Perkotaan","Pedesaan")</f>
        <v>Pedesaan</v>
      </c>
      <c r="C807" s="7">
        <v>1039.9770745907001</v>
      </c>
    </row>
    <row r="808" spans="2:3" x14ac:dyDescent="0.25">
      <c r="B808" t="str">
        <f>IF('Data Kumpulan'!B816=1,"Perkotaan","Pedesaan")</f>
        <v>Perkotaan</v>
      </c>
      <c r="C808" s="7">
        <v>1239.9997467513499</v>
      </c>
    </row>
    <row r="809" spans="2:3" x14ac:dyDescent="0.25">
      <c r="B809" t="str">
        <f>IF('Data Kumpulan'!B817=1,"Perkotaan","Pedesaan")</f>
        <v>Perkotaan</v>
      </c>
      <c r="C809" s="7">
        <v>1180.1050348850899</v>
      </c>
    </row>
    <row r="810" spans="2:3" x14ac:dyDescent="0.25">
      <c r="B810" t="str">
        <f>IF('Data Kumpulan'!B818=1,"Perkotaan","Pedesaan")</f>
        <v>Perkotaan</v>
      </c>
      <c r="C810" s="7">
        <v>648.88206295036196</v>
      </c>
    </row>
    <row r="811" spans="2:3" x14ac:dyDescent="0.25">
      <c r="B811" t="str">
        <f>IF('Data Kumpulan'!B819=1,"Perkotaan","Pedesaan")</f>
        <v>Pedesaan</v>
      </c>
      <c r="C811" s="7">
        <v>1065.4888914552</v>
      </c>
    </row>
    <row r="812" spans="2:3" x14ac:dyDescent="0.25">
      <c r="B812" t="str">
        <f>IF('Data Kumpulan'!B820=1,"Perkotaan","Pedesaan")</f>
        <v>Perkotaan</v>
      </c>
      <c r="C812" s="7">
        <v>317.56784885159902</v>
      </c>
    </row>
    <row r="813" spans="2:3" x14ac:dyDescent="0.25">
      <c r="B813" t="str">
        <f>IF('Data Kumpulan'!B821=1,"Perkotaan","Pedesaan")</f>
        <v>Pedesaan</v>
      </c>
      <c r="C813" s="7">
        <v>221.36311925814601</v>
      </c>
    </row>
    <row r="814" spans="2:3" x14ac:dyDescent="0.25">
      <c r="B814" t="str">
        <f>IF('Data Kumpulan'!B822=1,"Perkotaan","Pedesaan")</f>
        <v>Pedesaan</v>
      </c>
      <c r="C814" s="7">
        <v>28.849034932577901</v>
      </c>
    </row>
    <row r="815" spans="2:3" x14ac:dyDescent="0.25">
      <c r="B815" t="str">
        <f>IF('Data Kumpulan'!B823=1,"Perkotaan","Pedesaan")</f>
        <v>Perkotaan</v>
      </c>
      <c r="C815" s="7">
        <v>858.32243411753905</v>
      </c>
    </row>
    <row r="816" spans="2:3" x14ac:dyDescent="0.25">
      <c r="B816" t="str">
        <f>IF('Data Kumpulan'!B824=1,"Perkotaan","Pedesaan")</f>
        <v>Perkotaan</v>
      </c>
      <c r="C816" s="7">
        <v>696.04184808183595</v>
      </c>
    </row>
    <row r="817" spans="2:3" x14ac:dyDescent="0.25">
      <c r="B817" t="str">
        <f>IF('Data Kumpulan'!B825=1,"Perkotaan","Pedesaan")</f>
        <v>Perkotaan</v>
      </c>
      <c r="C817" s="7">
        <v>406.23308133262202</v>
      </c>
    </row>
    <row r="818" spans="2:3" x14ac:dyDescent="0.25">
      <c r="B818" t="str">
        <f>IF('Data Kumpulan'!B826=1,"Perkotaan","Pedesaan")</f>
        <v>Pedesaan</v>
      </c>
      <c r="C818" s="7">
        <v>1757.29040365423</v>
      </c>
    </row>
    <row r="819" spans="2:3" x14ac:dyDescent="0.25">
      <c r="B819" t="str">
        <f>IF('Data Kumpulan'!B827=1,"Perkotaan","Pedesaan")</f>
        <v>Pedesaan</v>
      </c>
      <c r="C819" s="7">
        <v>880.54759242713897</v>
      </c>
    </row>
    <row r="820" spans="2:3" x14ac:dyDescent="0.25">
      <c r="B820" t="str">
        <f>IF('Data Kumpulan'!B828=1,"Perkotaan","Pedesaan")</f>
        <v>Pedesaan</v>
      </c>
      <c r="C820" s="7">
        <v>755.31727423383802</v>
      </c>
    </row>
    <row r="821" spans="2:3" x14ac:dyDescent="0.25">
      <c r="B821" t="str">
        <f>IF('Data Kumpulan'!B829=1,"Perkotaan","Pedesaan")</f>
        <v>Perkotaan</v>
      </c>
      <c r="C821" s="7">
        <v>799.79351786817006</v>
      </c>
    </row>
    <row r="822" spans="2:3" x14ac:dyDescent="0.25">
      <c r="B822" t="str">
        <f>IF('Data Kumpulan'!B830=1,"Perkotaan","Pedesaan")</f>
        <v>Pedesaan</v>
      </c>
      <c r="C822" s="7">
        <v>45.648438745992102</v>
      </c>
    </row>
    <row r="823" spans="2:3" x14ac:dyDescent="0.25">
      <c r="B823" t="str">
        <f>IF('Data Kumpulan'!B831=1,"Perkotaan","Pedesaan")</f>
        <v>Pedesaan</v>
      </c>
      <c r="C823" s="7">
        <v>116.897656098468</v>
      </c>
    </row>
    <row r="824" spans="2:3" x14ac:dyDescent="0.25">
      <c r="B824" t="str">
        <f>IF('Data Kumpulan'!B832=1,"Perkotaan","Pedesaan")</f>
        <v>Pedesaan</v>
      </c>
      <c r="C824" s="7">
        <v>71.874019954708302</v>
      </c>
    </row>
    <row r="825" spans="2:3" x14ac:dyDescent="0.25">
      <c r="B825" t="str">
        <f>IF('Data Kumpulan'!B833=1,"Perkotaan","Pedesaan")</f>
        <v>Pedesaan</v>
      </c>
      <c r="C825" s="7">
        <v>266.17898206227801</v>
      </c>
    </row>
    <row r="826" spans="2:3" x14ac:dyDescent="0.25">
      <c r="B826" t="str">
        <f>IF('Data Kumpulan'!B835=1,"Perkotaan","Pedesaan")</f>
        <v>Pedesaan</v>
      </c>
      <c r="C826" s="7">
        <v>799.68403229602598</v>
      </c>
    </row>
    <row r="827" spans="2:3" x14ac:dyDescent="0.25">
      <c r="B827" t="str">
        <f>IF('Data Kumpulan'!B836=1,"Perkotaan","Pedesaan")</f>
        <v>Pedesaan</v>
      </c>
      <c r="C827" s="7">
        <v>440.30440360155802</v>
      </c>
    </row>
    <row r="828" spans="2:3" x14ac:dyDescent="0.25">
      <c r="B828" t="str">
        <f>IF('Data Kumpulan'!B837=1,"Perkotaan","Pedesaan")</f>
        <v>Perkotaan</v>
      </c>
      <c r="C828" s="7">
        <v>1812.2505294684299</v>
      </c>
    </row>
    <row r="829" spans="2:3" x14ac:dyDescent="0.25">
      <c r="B829" t="str">
        <f>IF('Data Kumpulan'!B838=1,"Perkotaan","Pedesaan")</f>
        <v>Pedesaan</v>
      </c>
      <c r="C829" s="7">
        <v>647.01860825114295</v>
      </c>
    </row>
    <row r="830" spans="2:3" x14ac:dyDescent="0.25">
      <c r="B830" t="str">
        <f>IF('Data Kumpulan'!B839=1,"Perkotaan","Pedesaan")</f>
        <v>Pedesaan</v>
      </c>
      <c r="C830" s="7">
        <v>387.43650714445602</v>
      </c>
    </row>
    <row r="831" spans="2:3" x14ac:dyDescent="0.25">
      <c r="B831" t="str">
        <f>IF('Data Kumpulan'!B840=1,"Perkotaan","Pedesaan")</f>
        <v>Pedesaan</v>
      </c>
      <c r="C831" s="7">
        <v>89.139651051312995</v>
      </c>
    </row>
    <row r="832" spans="2:3" x14ac:dyDescent="0.25">
      <c r="B832" t="str">
        <f>IF('Data Kumpulan'!B841=1,"Perkotaan","Pedesaan")</f>
        <v>Perkotaan</v>
      </c>
      <c r="C832" s="7">
        <v>621.85884383195696</v>
      </c>
    </row>
    <row r="833" spans="2:3" x14ac:dyDescent="0.25">
      <c r="B833" t="str">
        <f>IF('Data Kumpulan'!B842=1,"Perkotaan","Pedesaan")</f>
        <v>Pedesaan</v>
      </c>
      <c r="C833" s="7">
        <v>24.889363471243701</v>
      </c>
    </row>
    <row r="834" spans="2:3" x14ac:dyDescent="0.25">
      <c r="B834" t="str">
        <f>IF('Data Kumpulan'!B843=1,"Perkotaan","Pedesaan")</f>
        <v>Pedesaan</v>
      </c>
      <c r="C834" s="7">
        <v>22.026628022846701</v>
      </c>
    </row>
    <row r="835" spans="2:3" x14ac:dyDescent="0.25">
      <c r="B835" t="str">
        <f>IF('Data Kumpulan'!B844=1,"Perkotaan","Pedesaan")</f>
        <v>Pedesaan</v>
      </c>
      <c r="C835" s="7">
        <v>643.62292744120703</v>
      </c>
    </row>
    <row r="836" spans="2:3" x14ac:dyDescent="0.25">
      <c r="B836" t="str">
        <f>IF('Data Kumpulan'!B845=1,"Perkotaan","Pedesaan")</f>
        <v>Pedesaan</v>
      </c>
      <c r="C836" s="7">
        <v>445.330364974323</v>
      </c>
    </row>
    <row r="837" spans="2:3" x14ac:dyDescent="0.25">
      <c r="B837" t="str">
        <f>IF('Data Kumpulan'!B846=1,"Perkotaan","Pedesaan")</f>
        <v>Pedesaan</v>
      </c>
      <c r="C837" s="7">
        <v>198.331507947566</v>
      </c>
    </row>
    <row r="838" spans="2:3" x14ac:dyDescent="0.25">
      <c r="B838" t="str">
        <f>IF('Data Kumpulan'!B848=1,"Perkotaan","Pedesaan")</f>
        <v>Perkotaan</v>
      </c>
      <c r="C838" s="7">
        <v>327.99675478566297</v>
      </c>
    </row>
    <row r="839" spans="2:3" x14ac:dyDescent="0.25">
      <c r="B839" t="str">
        <f>IF('Data Kumpulan'!B849=1,"Perkotaan","Pedesaan")</f>
        <v>Perkotaan</v>
      </c>
      <c r="C839" s="7">
        <v>863.43631265475005</v>
      </c>
    </row>
    <row r="840" spans="2:3" x14ac:dyDescent="0.25">
      <c r="B840" t="str">
        <f>IF('Data Kumpulan'!B850=1,"Perkotaan","Pedesaan")</f>
        <v>Pedesaan</v>
      </c>
      <c r="C840" s="7">
        <v>137.163349648072</v>
      </c>
    </row>
    <row r="841" spans="2:3" x14ac:dyDescent="0.25">
      <c r="B841" t="str">
        <f>IF('Data Kumpulan'!B851=1,"Perkotaan","Pedesaan")</f>
        <v>Pedesaan</v>
      </c>
      <c r="C841" s="7">
        <v>296.98556551499303</v>
      </c>
    </row>
    <row r="842" spans="2:3" x14ac:dyDescent="0.25">
      <c r="B842" t="str">
        <f>IF('Data Kumpulan'!B852=1,"Perkotaan","Pedesaan")</f>
        <v>Pedesaan</v>
      </c>
      <c r="C842" s="7">
        <v>554.95292710186197</v>
      </c>
    </row>
    <row r="843" spans="2:3" x14ac:dyDescent="0.25">
      <c r="B843" t="str">
        <f>IF('Data Kumpulan'!B853=1,"Perkotaan","Pedesaan")</f>
        <v>Perkotaan</v>
      </c>
      <c r="C843" s="7">
        <v>1397.7316887986899</v>
      </c>
    </row>
    <row r="844" spans="2:3" x14ac:dyDescent="0.25">
      <c r="B844" t="str">
        <f>IF('Data Kumpulan'!B854=1,"Perkotaan","Pedesaan")</f>
        <v>Pedesaan</v>
      </c>
      <c r="C844" s="7">
        <v>681.54173901689796</v>
      </c>
    </row>
    <row r="845" spans="2:3" x14ac:dyDescent="0.25">
      <c r="B845" t="str">
        <f>IF('Data Kumpulan'!B855=1,"Perkotaan","Pedesaan")</f>
        <v>Perkotaan</v>
      </c>
      <c r="C845" s="7">
        <v>1433.6515365277801</v>
      </c>
    </row>
    <row r="846" spans="2:3" x14ac:dyDescent="0.25">
      <c r="B846" t="str">
        <f>IF('Data Kumpulan'!B856=1,"Perkotaan","Pedesaan")</f>
        <v>Perkotaan</v>
      </c>
      <c r="C846" s="7">
        <v>790.62941233229606</v>
      </c>
    </row>
    <row r="847" spans="2:3" x14ac:dyDescent="0.25">
      <c r="B847" t="str">
        <f>IF('Data Kumpulan'!B857=1,"Perkotaan","Pedesaan")</f>
        <v>Pedesaan</v>
      </c>
      <c r="C847" s="7">
        <v>1371.5770576110499</v>
      </c>
    </row>
    <row r="848" spans="2:3" x14ac:dyDescent="0.25">
      <c r="B848" t="str">
        <f>IF('Data Kumpulan'!B858=1,"Perkotaan","Pedesaan")</f>
        <v>Pedesaan</v>
      </c>
      <c r="C848" s="7">
        <v>153.855037041391</v>
      </c>
    </row>
    <row r="849" spans="2:3" x14ac:dyDescent="0.25">
      <c r="B849" t="str">
        <f>IF('Data Kumpulan'!B859=1,"Perkotaan","Pedesaan")</f>
        <v>Pedesaan</v>
      </c>
      <c r="C849" s="7">
        <v>373.78534120743302</v>
      </c>
    </row>
    <row r="850" spans="2:3" x14ac:dyDescent="0.25">
      <c r="B850" t="str">
        <f>IF('Data Kumpulan'!B860=1,"Perkotaan","Pedesaan")</f>
        <v>Perkotaan</v>
      </c>
      <c r="C850" s="7">
        <v>1590.72009157655</v>
      </c>
    </row>
    <row r="851" spans="2:3" x14ac:dyDescent="0.25">
      <c r="B851" t="str">
        <f>IF('Data Kumpulan'!B861=1,"Perkotaan","Pedesaan")</f>
        <v>Perkotaan</v>
      </c>
      <c r="C851" s="7">
        <v>569.55739527954597</v>
      </c>
    </row>
    <row r="852" spans="2:3" x14ac:dyDescent="0.25">
      <c r="B852" t="str">
        <f>IF('Data Kumpulan'!B863=1,"Perkotaan","Pedesaan")</f>
        <v>Pedesaan</v>
      </c>
      <c r="C852" s="7">
        <v>961.03055190695397</v>
      </c>
    </row>
    <row r="853" spans="2:3" x14ac:dyDescent="0.25">
      <c r="B853" t="str">
        <f>IF('Data Kumpulan'!B864=1,"Perkotaan","Pedesaan")</f>
        <v>Pedesaan</v>
      </c>
      <c r="C853" s="7">
        <v>29.245098669135601</v>
      </c>
    </row>
    <row r="854" spans="2:3" x14ac:dyDescent="0.25">
      <c r="B854" t="str">
        <f>IF('Data Kumpulan'!B865=1,"Perkotaan","Pedesaan")</f>
        <v>Pedesaan</v>
      </c>
      <c r="C854" s="7">
        <v>390.331636866574</v>
      </c>
    </row>
    <row r="855" spans="2:3" x14ac:dyDescent="0.25">
      <c r="B855" t="str">
        <f>IF('Data Kumpulan'!B866=1,"Perkotaan","Pedesaan")</f>
        <v>Pedesaan</v>
      </c>
      <c r="C855" s="7">
        <v>254.946491019261</v>
      </c>
    </row>
    <row r="856" spans="2:3" x14ac:dyDescent="0.25">
      <c r="B856" t="str">
        <f>IF('Data Kumpulan'!B867=1,"Perkotaan","Pedesaan")</f>
        <v>Pedesaan</v>
      </c>
      <c r="C856" s="7">
        <v>393.30802585887602</v>
      </c>
    </row>
    <row r="857" spans="2:3" x14ac:dyDescent="0.25">
      <c r="B857" t="str">
        <f>IF('Data Kumpulan'!B868=1,"Perkotaan","Pedesaan")</f>
        <v>Pedesaan</v>
      </c>
      <c r="C857" s="7">
        <v>101.32580787791601</v>
      </c>
    </row>
    <row r="858" spans="2:3" x14ac:dyDescent="0.25">
      <c r="B858" t="str">
        <f>IF('Data Kumpulan'!B869=1,"Perkotaan","Pedesaan")</f>
        <v>Pedesaan</v>
      </c>
      <c r="C858" s="7">
        <v>594.91243672902203</v>
      </c>
    </row>
    <row r="859" spans="2:3" x14ac:dyDescent="0.25">
      <c r="B859" t="str">
        <f>IF('Data Kumpulan'!B870=1,"Perkotaan","Pedesaan")</f>
        <v>Perkotaan</v>
      </c>
      <c r="C859" s="7">
        <v>1538.9792320858701</v>
      </c>
    </row>
    <row r="860" spans="2:3" x14ac:dyDescent="0.25">
      <c r="B860" t="str">
        <f>IF('Data Kumpulan'!B871=1,"Perkotaan","Pedesaan")</f>
        <v>Pedesaan</v>
      </c>
      <c r="C860" s="7">
        <v>623.78485868147004</v>
      </c>
    </row>
    <row r="861" spans="2:3" x14ac:dyDescent="0.25">
      <c r="B861" t="str">
        <f>IF('Data Kumpulan'!B872=1,"Perkotaan","Pedesaan")</f>
        <v>Perkotaan</v>
      </c>
      <c r="C861" s="7">
        <v>637.45917244620296</v>
      </c>
    </row>
    <row r="862" spans="2:3" x14ac:dyDescent="0.25">
      <c r="B862" t="str">
        <f>IF('Data Kumpulan'!B873=1,"Perkotaan","Pedesaan")</f>
        <v>Pedesaan</v>
      </c>
      <c r="C862" s="7">
        <v>425.52628544543097</v>
      </c>
    </row>
    <row r="863" spans="2:3" x14ac:dyDescent="0.25">
      <c r="B863" t="str">
        <f>IF('Data Kumpulan'!B874=1,"Perkotaan","Pedesaan")</f>
        <v>Perkotaan</v>
      </c>
      <c r="C863" s="7">
        <v>450.479722637267</v>
      </c>
    </row>
    <row r="864" spans="2:3" x14ac:dyDescent="0.25">
      <c r="B864" t="str">
        <f>IF('Data Kumpulan'!B875=1,"Perkotaan","Pedesaan")</f>
        <v>Pedesaan</v>
      </c>
      <c r="C864" s="7">
        <v>374.759660512945</v>
      </c>
    </row>
    <row r="865" spans="2:3" x14ac:dyDescent="0.25">
      <c r="B865" t="str">
        <f>IF('Data Kumpulan'!B876=1,"Perkotaan","Pedesaan")</f>
        <v>Perkotaan</v>
      </c>
      <c r="C865" s="7">
        <v>387.10066956988197</v>
      </c>
    </row>
    <row r="866" spans="2:3" x14ac:dyDescent="0.25">
      <c r="B866" t="str">
        <f>IF('Data Kumpulan'!B877=1,"Perkotaan","Pedesaan")</f>
        <v>Pedesaan</v>
      </c>
      <c r="C866" s="7">
        <v>659.79854936837205</v>
      </c>
    </row>
    <row r="867" spans="2:3" x14ac:dyDescent="0.25">
      <c r="B867" t="str">
        <f>IF('Data Kumpulan'!B878=1,"Perkotaan","Pedesaan")</f>
        <v>Pedesaan</v>
      </c>
      <c r="C867" s="7">
        <v>109.65320839400501</v>
      </c>
    </row>
    <row r="868" spans="2:3" x14ac:dyDescent="0.25">
      <c r="B868" t="str">
        <f>IF('Data Kumpulan'!B879=1,"Perkotaan","Pedesaan")</f>
        <v>Perkotaan</v>
      </c>
      <c r="C868" s="7">
        <v>751.62175579645304</v>
      </c>
    </row>
    <row r="869" spans="2:3" x14ac:dyDescent="0.25">
      <c r="B869" t="str">
        <f>IF('Data Kumpulan'!B880=1,"Perkotaan","Pedesaan")</f>
        <v>Pedesaan</v>
      </c>
      <c r="C869" s="7">
        <v>538.78345383121405</v>
      </c>
    </row>
    <row r="870" spans="2:3" x14ac:dyDescent="0.25">
      <c r="B870" t="str">
        <f>IF('Data Kumpulan'!B881=1,"Perkotaan","Pedesaan")</f>
        <v>Perkotaan</v>
      </c>
      <c r="C870" s="7">
        <v>442.43045377172302</v>
      </c>
    </row>
    <row r="871" spans="2:3" x14ac:dyDescent="0.25">
      <c r="B871" t="str">
        <f>IF('Data Kumpulan'!B882=1,"Perkotaan","Pedesaan")</f>
        <v>Pedesaan</v>
      </c>
      <c r="C871" s="7">
        <v>448.31577735026201</v>
      </c>
    </row>
    <row r="872" spans="2:3" x14ac:dyDescent="0.25">
      <c r="B872" t="str">
        <f>IF('Data Kumpulan'!B883=1,"Perkotaan","Pedesaan")</f>
        <v>Perkotaan</v>
      </c>
      <c r="C872" s="7">
        <v>1571.83417104265</v>
      </c>
    </row>
    <row r="873" spans="2:3" x14ac:dyDescent="0.25">
      <c r="B873" t="str">
        <f>IF('Data Kumpulan'!B884=1,"Perkotaan","Pedesaan")</f>
        <v>Pedesaan</v>
      </c>
      <c r="C873" s="7">
        <v>526.323910241882</v>
      </c>
    </row>
    <row r="874" spans="2:3" x14ac:dyDescent="0.25">
      <c r="B874" t="str">
        <f>IF('Data Kumpulan'!B885=1,"Perkotaan","Pedesaan")</f>
        <v>Pedesaan</v>
      </c>
      <c r="C874" s="7">
        <v>340.73511236986002</v>
      </c>
    </row>
    <row r="875" spans="2:3" x14ac:dyDescent="0.25">
      <c r="B875" t="str">
        <f>IF('Data Kumpulan'!B886=1,"Perkotaan","Pedesaan")</f>
        <v>Pedesaan</v>
      </c>
      <c r="C875" s="7">
        <v>773.07249153900602</v>
      </c>
    </row>
    <row r="876" spans="2:3" x14ac:dyDescent="0.25">
      <c r="B876" t="str">
        <f>IF('Data Kumpulan'!B887=1,"Perkotaan","Pedesaan")</f>
        <v>Perkotaan</v>
      </c>
      <c r="C876" s="7">
        <v>671.40004518990895</v>
      </c>
    </row>
    <row r="877" spans="2:3" x14ac:dyDescent="0.25">
      <c r="B877" t="str">
        <f>IF('Data Kumpulan'!B888=1,"Perkotaan","Pedesaan")</f>
        <v>Pedesaan</v>
      </c>
      <c r="C877" s="7">
        <v>228.48582084433301</v>
      </c>
    </row>
    <row r="878" spans="2:3" x14ac:dyDescent="0.25">
      <c r="B878" t="str">
        <f>IF('Data Kumpulan'!B889=1,"Perkotaan","Pedesaan")</f>
        <v>Perkotaan</v>
      </c>
      <c r="C878" s="7">
        <v>609.16018371618804</v>
      </c>
    </row>
    <row r="879" spans="2:3" x14ac:dyDescent="0.25">
      <c r="B879" t="str">
        <f>IF('Data Kumpulan'!B890=1,"Perkotaan","Pedesaan")</f>
        <v>Perkotaan</v>
      </c>
      <c r="C879" s="7">
        <v>653.76242718466005</v>
      </c>
    </row>
    <row r="880" spans="2:3" x14ac:dyDescent="0.25">
      <c r="B880" t="str">
        <f>IF('Data Kumpulan'!B891=1,"Perkotaan","Pedesaan")</f>
        <v>Pedesaan</v>
      </c>
      <c r="C880" s="7">
        <v>217.465040671601</v>
      </c>
    </row>
    <row r="881" spans="2:3" x14ac:dyDescent="0.25">
      <c r="B881" t="str">
        <f>IF('Data Kumpulan'!B892=1,"Perkotaan","Pedesaan")</f>
        <v>Pedesaan</v>
      </c>
      <c r="C881" s="7">
        <v>89.128519726256499</v>
      </c>
    </row>
    <row r="882" spans="2:3" x14ac:dyDescent="0.25">
      <c r="B882" t="str">
        <f>IF('Data Kumpulan'!B893=1,"Perkotaan","Pedesaan")</f>
        <v>Perkotaan</v>
      </c>
      <c r="C882" s="7">
        <v>595.69562065549997</v>
      </c>
    </row>
    <row r="883" spans="2:3" x14ac:dyDescent="0.25">
      <c r="B883" t="str">
        <f>IF('Data Kumpulan'!B894=1,"Perkotaan","Pedesaan")</f>
        <v>Pedesaan</v>
      </c>
      <c r="C883" s="7">
        <v>606.29160858728903</v>
      </c>
    </row>
    <row r="884" spans="2:3" x14ac:dyDescent="0.25">
      <c r="B884" t="str">
        <f>IF('Data Kumpulan'!B895=1,"Perkotaan","Pedesaan")</f>
        <v>Pedesaan</v>
      </c>
      <c r="C884" s="7">
        <v>475.00456592201903</v>
      </c>
    </row>
    <row r="885" spans="2:3" x14ac:dyDescent="0.25">
      <c r="B885" t="str">
        <f>IF('Data Kumpulan'!B896=1,"Perkotaan","Pedesaan")</f>
        <v>Pedesaan</v>
      </c>
      <c r="C885" s="7">
        <v>2133.07147908773</v>
      </c>
    </row>
    <row r="886" spans="2:3" x14ac:dyDescent="0.25">
      <c r="B886" t="str">
        <f>IF('Data Kumpulan'!B897=1,"Perkotaan","Pedesaan")</f>
        <v>Pedesaan</v>
      </c>
      <c r="C886" s="7">
        <v>478.36985765827598</v>
      </c>
    </row>
    <row r="887" spans="2:3" x14ac:dyDescent="0.25">
      <c r="B887" t="str">
        <f>IF('Data Kumpulan'!B898=1,"Perkotaan","Pedesaan")</f>
        <v>Pedesaan</v>
      </c>
      <c r="C887" s="7">
        <v>418.14757584010601</v>
      </c>
    </row>
    <row r="888" spans="2:3" x14ac:dyDescent="0.25">
      <c r="B888" t="str">
        <f>IF('Data Kumpulan'!B899=1,"Perkotaan","Pedesaan")</f>
        <v>Pedesaan</v>
      </c>
      <c r="C888" s="7">
        <v>152.35813517541001</v>
      </c>
    </row>
    <row r="889" spans="2:3" x14ac:dyDescent="0.25">
      <c r="B889" t="str">
        <f>IF('Data Kumpulan'!B900=1,"Perkotaan","Pedesaan")</f>
        <v>Pedesaan</v>
      </c>
      <c r="C889" s="7">
        <v>115.95146796187601</v>
      </c>
    </row>
    <row r="890" spans="2:3" x14ac:dyDescent="0.25">
      <c r="B890" t="str">
        <f>IF('Data Kumpulan'!B901=1,"Perkotaan","Pedesaan")</f>
        <v>Pedesaan</v>
      </c>
      <c r="C890" s="7">
        <v>287.55344043038701</v>
      </c>
    </row>
    <row r="891" spans="2:3" x14ac:dyDescent="0.25">
      <c r="B891" t="str">
        <f>IF('Data Kumpulan'!B902=1,"Perkotaan","Pedesaan")</f>
        <v>Pedesaan</v>
      </c>
      <c r="C891" s="7">
        <v>193.007767801358</v>
      </c>
    </row>
    <row r="892" spans="2:3" x14ac:dyDescent="0.25">
      <c r="B892" t="str">
        <f>IF('Data Kumpulan'!B903=1,"Perkotaan","Pedesaan")</f>
        <v>Perkotaan</v>
      </c>
      <c r="C892" s="7">
        <v>806.61083470680205</v>
      </c>
    </row>
    <row r="893" spans="2:3" x14ac:dyDescent="0.25">
      <c r="B893" t="str">
        <f>IF('Data Kumpulan'!B904=1,"Perkotaan","Pedesaan")</f>
        <v>Pedesaan</v>
      </c>
      <c r="C893" s="7">
        <v>1263.60850917516</v>
      </c>
    </row>
    <row r="894" spans="2:3" x14ac:dyDescent="0.25">
      <c r="B894" t="str">
        <f>IF('Data Kumpulan'!B905=1,"Perkotaan","Pedesaan")</f>
        <v>Perkotaan</v>
      </c>
      <c r="C894" s="7">
        <v>617.57770313045</v>
      </c>
    </row>
    <row r="895" spans="2:3" x14ac:dyDescent="0.25">
      <c r="B895" t="str">
        <f>IF('Data Kumpulan'!B906=1,"Perkotaan","Pedesaan")</f>
        <v>Pedesaan</v>
      </c>
      <c r="C895" s="7">
        <v>617.40879024997503</v>
      </c>
    </row>
    <row r="896" spans="2:3" x14ac:dyDescent="0.25">
      <c r="B896" t="str">
        <f>IF('Data Kumpulan'!B907=1,"Perkotaan","Pedesaan")</f>
        <v>Perkotaan</v>
      </c>
      <c r="C896" s="7">
        <v>1179.3127013625001</v>
      </c>
    </row>
    <row r="897" spans="2:3" x14ac:dyDescent="0.25">
      <c r="B897" t="str">
        <f>IF('Data Kumpulan'!B908=1,"Perkotaan","Pedesaan")</f>
        <v>Perkotaan</v>
      </c>
      <c r="C897" s="7">
        <v>512.02179976903005</v>
      </c>
    </row>
    <row r="898" spans="2:3" x14ac:dyDescent="0.25">
      <c r="B898" t="str">
        <f>IF('Data Kumpulan'!B909=1,"Perkotaan","Pedesaan")</f>
        <v>Perkotaan</v>
      </c>
      <c r="C898" s="7">
        <v>402.82037181072297</v>
      </c>
    </row>
    <row r="899" spans="2:3" x14ac:dyDescent="0.25">
      <c r="B899" t="str">
        <f>IF('Data Kumpulan'!B910=1,"Perkotaan","Pedesaan")</f>
        <v>Pedesaan</v>
      </c>
      <c r="C899" s="7">
        <v>278.83280741148002</v>
      </c>
    </row>
    <row r="900" spans="2:3" x14ac:dyDescent="0.25">
      <c r="B900" t="str">
        <f>IF('Data Kumpulan'!B911=1,"Perkotaan","Pedesaan")</f>
        <v>Pedesaan</v>
      </c>
      <c r="C900" s="7">
        <v>385.39001541970902</v>
      </c>
    </row>
    <row r="901" spans="2:3" x14ac:dyDescent="0.25">
      <c r="B901" t="str">
        <f>IF('Data Kumpulan'!B912=1,"Perkotaan","Pedesaan")</f>
        <v>Perkotaan</v>
      </c>
      <c r="C901" s="7">
        <v>815.78697168480096</v>
      </c>
    </row>
    <row r="902" spans="2:3" x14ac:dyDescent="0.25">
      <c r="B902" t="str">
        <f>IF('Data Kumpulan'!B913=1,"Perkotaan","Pedesaan")</f>
        <v>Pedesaan</v>
      </c>
      <c r="C902" s="7">
        <v>114.180111676351</v>
      </c>
    </row>
    <row r="903" spans="2:3" x14ac:dyDescent="0.25">
      <c r="B903" t="str">
        <f>IF('Data Kumpulan'!B914=1,"Perkotaan","Pedesaan")</f>
        <v>Perkotaan</v>
      </c>
      <c r="C903" s="7">
        <v>698.35480505356702</v>
      </c>
    </row>
    <row r="904" spans="2:3" x14ac:dyDescent="0.25">
      <c r="B904" t="str">
        <f>IF('Data Kumpulan'!B915=1,"Perkotaan","Pedesaan")</f>
        <v>Pedesaan</v>
      </c>
      <c r="C904" s="7">
        <v>228.5970319127</v>
      </c>
    </row>
    <row r="905" spans="2:3" x14ac:dyDescent="0.25">
      <c r="B905" t="str">
        <f>IF('Data Kumpulan'!B916=1,"Perkotaan","Pedesaan")</f>
        <v>Perkotaan</v>
      </c>
      <c r="C905" s="7">
        <v>992.67379462240399</v>
      </c>
    </row>
    <row r="906" spans="2:3" x14ac:dyDescent="0.25">
      <c r="B906" t="str">
        <f>IF('Data Kumpulan'!B917=1,"Perkotaan","Pedesaan")</f>
        <v>Pedesaan</v>
      </c>
      <c r="C906" s="7">
        <v>709.87554771466705</v>
      </c>
    </row>
    <row r="907" spans="2:3" x14ac:dyDescent="0.25">
      <c r="B907" t="str">
        <f>IF('Data Kumpulan'!B918=1,"Perkotaan","Pedesaan")</f>
        <v>Pedesaan</v>
      </c>
      <c r="C907" s="7">
        <v>206.082674291242</v>
      </c>
    </row>
    <row r="908" spans="2:3" x14ac:dyDescent="0.25">
      <c r="B908" t="str">
        <f>IF('Data Kumpulan'!B919=1,"Perkotaan","Pedesaan")</f>
        <v>Pedesaan</v>
      </c>
      <c r="C908" s="7">
        <v>90.081040977528005</v>
      </c>
    </row>
    <row r="909" spans="2:3" x14ac:dyDescent="0.25">
      <c r="B909" t="str">
        <f>IF('Data Kumpulan'!B920=1,"Perkotaan","Pedesaan")</f>
        <v>Perkotaan</v>
      </c>
      <c r="C909" s="7">
        <v>192.99458753103499</v>
      </c>
    </row>
    <row r="910" spans="2:3" x14ac:dyDescent="0.25">
      <c r="B910" t="str">
        <f>IF('Data Kumpulan'!B921=1,"Perkotaan","Pedesaan")</f>
        <v>Pedesaan</v>
      </c>
      <c r="C910" s="7">
        <v>304.75138070910401</v>
      </c>
    </row>
    <row r="911" spans="2:3" x14ac:dyDescent="0.25">
      <c r="B911" t="str">
        <f>IF('Data Kumpulan'!B922=1,"Perkotaan","Pedesaan")</f>
        <v>Pedesaan</v>
      </c>
      <c r="C911" s="7">
        <v>155.359685566802</v>
      </c>
    </row>
    <row r="912" spans="2:3" x14ac:dyDescent="0.25">
      <c r="B912" t="str">
        <f>IF('Data Kumpulan'!B923=1,"Perkotaan","Pedesaan")</f>
        <v>Perkotaan</v>
      </c>
      <c r="C912" s="7">
        <v>1325.2333478851299</v>
      </c>
    </row>
    <row r="913" spans="2:3" x14ac:dyDescent="0.25">
      <c r="B913" t="str">
        <f>IF('Data Kumpulan'!B924=1,"Perkotaan","Pedesaan")</f>
        <v>Pedesaan</v>
      </c>
      <c r="C913" s="7">
        <v>26.4042014637153</v>
      </c>
    </row>
    <row r="914" spans="2:3" x14ac:dyDescent="0.25">
      <c r="B914" t="str">
        <f>IF('Data Kumpulan'!B925=1,"Perkotaan","Pedesaan")</f>
        <v>Pedesaan</v>
      </c>
      <c r="C914" s="7">
        <v>779.04181085479297</v>
      </c>
    </row>
    <row r="915" spans="2:3" x14ac:dyDescent="0.25">
      <c r="B915" t="str">
        <f>IF('Data Kumpulan'!B926=1,"Perkotaan","Pedesaan")</f>
        <v>Pedesaan</v>
      </c>
      <c r="C915" s="7">
        <v>778.64279753403002</v>
      </c>
    </row>
    <row r="916" spans="2:3" x14ac:dyDescent="0.25">
      <c r="B916" t="str">
        <f>IF('Data Kumpulan'!B927=1,"Perkotaan","Pedesaan")</f>
        <v>Perkotaan</v>
      </c>
      <c r="C916" s="7">
        <v>595.70962702568295</v>
      </c>
    </row>
    <row r="917" spans="2:3" x14ac:dyDescent="0.25">
      <c r="B917" t="str">
        <f>IF('Data Kumpulan'!B929=1,"Perkotaan","Pedesaan")</f>
        <v>Perkotaan</v>
      </c>
      <c r="C917" s="7">
        <v>1062.6379834623699</v>
      </c>
    </row>
    <row r="918" spans="2:3" x14ac:dyDescent="0.25">
      <c r="B918" t="str">
        <f>IF('Data Kumpulan'!B930=1,"Perkotaan","Pedesaan")</f>
        <v>Perkotaan</v>
      </c>
      <c r="C918" s="7">
        <v>816.48380301539305</v>
      </c>
    </row>
    <row r="919" spans="2:3" x14ac:dyDescent="0.25">
      <c r="B919" t="str">
        <f>IF('Data Kumpulan'!B931=1,"Perkotaan","Pedesaan")</f>
        <v>Perkotaan</v>
      </c>
      <c r="C919" s="7">
        <v>260.27739328460001</v>
      </c>
    </row>
    <row r="920" spans="2:3" x14ac:dyDescent="0.25">
      <c r="B920" t="str">
        <f>IF('Data Kumpulan'!B932=1,"Perkotaan","Pedesaan")</f>
        <v>Pedesaan</v>
      </c>
      <c r="C920" s="7">
        <v>203.529737262347</v>
      </c>
    </row>
    <row r="921" spans="2:3" x14ac:dyDescent="0.25">
      <c r="B921" t="str">
        <f>IF('Data Kumpulan'!B933=1,"Perkotaan","Pedesaan")</f>
        <v>Perkotaan</v>
      </c>
      <c r="C921" s="7">
        <v>345.761089803716</v>
      </c>
    </row>
    <row r="922" spans="2:3" x14ac:dyDescent="0.25">
      <c r="B922" t="str">
        <f>IF('Data Kumpulan'!B934=1,"Perkotaan","Pedesaan")</f>
        <v>Pedesaan</v>
      </c>
      <c r="C922" s="7">
        <v>27.346481029839399</v>
      </c>
    </row>
    <row r="923" spans="2:3" x14ac:dyDescent="0.25">
      <c r="B923" t="str">
        <f>IF('Data Kumpulan'!B935=1,"Perkotaan","Pedesaan")</f>
        <v>Perkotaan</v>
      </c>
      <c r="C923" s="7">
        <v>912.43938815959405</v>
      </c>
    </row>
    <row r="924" spans="2:3" x14ac:dyDescent="0.25">
      <c r="B924" t="str">
        <f>IF('Data Kumpulan'!B936=1,"Perkotaan","Pedesaan")</f>
        <v>Pedesaan</v>
      </c>
      <c r="C924" s="7">
        <v>26.4042014637153</v>
      </c>
    </row>
    <row r="925" spans="2:3" x14ac:dyDescent="0.25">
      <c r="B925" t="str">
        <f>IF('Data Kumpulan'!B937=1,"Perkotaan","Pedesaan")</f>
        <v>Perkotaan</v>
      </c>
      <c r="C925" s="7">
        <v>2130.6040466656</v>
      </c>
    </row>
    <row r="926" spans="2:3" x14ac:dyDescent="0.25">
      <c r="B926" t="str">
        <f>IF('Data Kumpulan'!B938=1,"Perkotaan","Pedesaan")</f>
        <v>Pedesaan</v>
      </c>
      <c r="C926" s="7">
        <v>247.423079323461</v>
      </c>
    </row>
    <row r="927" spans="2:3" x14ac:dyDescent="0.25">
      <c r="B927" t="str">
        <f>IF('Data Kumpulan'!B939=1,"Perkotaan","Pedesaan")</f>
        <v>Pedesaan</v>
      </c>
      <c r="C927" s="7">
        <v>384.04143580539898</v>
      </c>
    </row>
    <row r="928" spans="2:3" x14ac:dyDescent="0.25">
      <c r="B928" t="str">
        <f>IF('Data Kumpulan'!B940=1,"Perkotaan","Pedesaan")</f>
        <v>Perkotaan</v>
      </c>
      <c r="C928" s="7">
        <v>670.81508291593502</v>
      </c>
    </row>
    <row r="929" spans="2:3" x14ac:dyDescent="0.25">
      <c r="B929" t="str">
        <f>IF('Data Kumpulan'!B941=1,"Perkotaan","Pedesaan")</f>
        <v>Perkotaan</v>
      </c>
      <c r="C929" s="7">
        <v>1258.38121048685</v>
      </c>
    </row>
    <row r="930" spans="2:3" x14ac:dyDescent="0.25">
      <c r="B930" t="str">
        <f>IF('Data Kumpulan'!B942=1,"Perkotaan","Pedesaan")</f>
        <v>Perkotaan</v>
      </c>
      <c r="C930" s="7">
        <v>135.853292172404</v>
      </c>
    </row>
    <row r="931" spans="2:3" x14ac:dyDescent="0.25">
      <c r="B931" t="str">
        <f>IF('Data Kumpulan'!B943=1,"Perkotaan","Pedesaan")</f>
        <v>Pedesaan</v>
      </c>
      <c r="C931" s="7">
        <v>380.01942027915698</v>
      </c>
    </row>
    <row r="932" spans="2:3" x14ac:dyDescent="0.25">
      <c r="B932" t="str">
        <f>IF('Data Kumpulan'!B944=1,"Perkotaan","Pedesaan")</f>
        <v>Pedesaan</v>
      </c>
      <c r="C932" s="7">
        <v>112.538538288365</v>
      </c>
    </row>
    <row r="933" spans="2:3" x14ac:dyDescent="0.25">
      <c r="B933" t="str">
        <f>IF('Data Kumpulan'!B945=1,"Perkotaan","Pedesaan")</f>
        <v>Perkotaan</v>
      </c>
      <c r="C933" s="7">
        <v>810.22793337279995</v>
      </c>
    </row>
    <row r="934" spans="2:3" x14ac:dyDescent="0.25">
      <c r="B934" t="str">
        <f>IF('Data Kumpulan'!B946=1,"Perkotaan","Pedesaan")</f>
        <v>Perkotaan</v>
      </c>
      <c r="C934" s="7">
        <v>558.46076844249501</v>
      </c>
    </row>
    <row r="935" spans="2:3" x14ac:dyDescent="0.25">
      <c r="B935" t="str">
        <f>IF('Data Kumpulan'!B947=1,"Perkotaan","Pedesaan")</f>
        <v>Pedesaan</v>
      </c>
      <c r="C935" s="7">
        <v>353.28518653142601</v>
      </c>
    </row>
    <row r="936" spans="2:3" x14ac:dyDescent="0.25">
      <c r="B936" t="str">
        <f>IF('Data Kumpulan'!B948=1,"Perkotaan","Pedesaan")</f>
        <v>Pedesaan</v>
      </c>
      <c r="C936" s="7">
        <v>533.94982372991205</v>
      </c>
    </row>
    <row r="937" spans="2:3" x14ac:dyDescent="0.25">
      <c r="B937" t="str">
        <f>IF('Data Kumpulan'!B949=1,"Perkotaan","Pedesaan")</f>
        <v>Perkotaan</v>
      </c>
      <c r="C937" s="7">
        <v>477.12052833298702</v>
      </c>
    </row>
    <row r="938" spans="2:3" x14ac:dyDescent="0.25">
      <c r="B938" t="str">
        <f>IF('Data Kumpulan'!B950=1,"Perkotaan","Pedesaan")</f>
        <v>Pedesaan</v>
      </c>
      <c r="C938" s="7">
        <v>1491.9171600780701</v>
      </c>
    </row>
    <row r="939" spans="2:3" x14ac:dyDescent="0.25">
      <c r="B939" t="str">
        <f>IF('Data Kumpulan'!B951=1,"Perkotaan","Pedesaan")</f>
        <v>Pedesaan</v>
      </c>
      <c r="C939" s="7">
        <v>497.41818011708602</v>
      </c>
    </row>
    <row r="940" spans="2:3" x14ac:dyDescent="0.25">
      <c r="B940" t="str">
        <f>IF('Data Kumpulan'!B952=1,"Perkotaan","Pedesaan")</f>
        <v>Pedesaan</v>
      </c>
      <c r="C940" s="7">
        <v>125.862954537568</v>
      </c>
    </row>
    <row r="941" spans="2:3" x14ac:dyDescent="0.25">
      <c r="B941" t="str">
        <f>IF('Data Kumpulan'!B953=1,"Perkotaan","Pedesaan")</f>
        <v>Perkotaan</v>
      </c>
      <c r="C941" s="7">
        <v>85.042834743810502</v>
      </c>
    </row>
    <row r="942" spans="2:3" x14ac:dyDescent="0.25">
      <c r="B942" t="str">
        <f>IF('Data Kumpulan'!B955=1,"Perkotaan","Pedesaan")</f>
        <v>Pedesaan</v>
      </c>
      <c r="C942" s="7">
        <v>254.41776225354201</v>
      </c>
    </row>
    <row r="943" spans="2:3" x14ac:dyDescent="0.25">
      <c r="B943" t="str">
        <f>IF('Data Kumpulan'!B956=1,"Perkotaan","Pedesaan")</f>
        <v>Pedesaan</v>
      </c>
      <c r="C943" s="7">
        <v>100.41044207928201</v>
      </c>
    </row>
    <row r="944" spans="2:3" x14ac:dyDescent="0.25">
      <c r="B944" t="str">
        <f>IF('Data Kumpulan'!B957=1,"Perkotaan","Pedesaan")</f>
        <v>Pedesaan</v>
      </c>
      <c r="C944" s="7">
        <v>115.95146796187601</v>
      </c>
    </row>
    <row r="945" spans="2:3" x14ac:dyDescent="0.25">
      <c r="B945" t="str">
        <f>IF('Data Kumpulan'!B958=1,"Perkotaan","Pedesaan")</f>
        <v>Pedesaan</v>
      </c>
      <c r="C945" s="7">
        <v>259.03325444638801</v>
      </c>
    </row>
    <row r="946" spans="2:3" x14ac:dyDescent="0.25">
      <c r="B946" t="str">
        <f>IF('Data Kumpulan'!B959=1,"Perkotaan","Pedesaan")</f>
        <v>Pedesaan</v>
      </c>
      <c r="C946" s="7">
        <v>659.15837792001605</v>
      </c>
    </row>
    <row r="947" spans="2:3" x14ac:dyDescent="0.25">
      <c r="B947" t="str">
        <f>IF('Data Kumpulan'!B960=1,"Perkotaan","Pedesaan")</f>
        <v>Pedesaan</v>
      </c>
      <c r="C947" s="7">
        <v>326.97573789014302</v>
      </c>
    </row>
    <row r="948" spans="2:3" x14ac:dyDescent="0.25">
      <c r="B948" t="str">
        <f>IF('Data Kumpulan'!B961=1,"Perkotaan","Pedesaan")</f>
        <v>Perkotaan</v>
      </c>
      <c r="C948" s="7">
        <v>787.43455248976898</v>
      </c>
    </row>
    <row r="949" spans="2:3" x14ac:dyDescent="0.25">
      <c r="B949" t="str">
        <f>IF('Data Kumpulan'!B963=1,"Perkotaan","Pedesaan")</f>
        <v>Perkotaan</v>
      </c>
      <c r="C949" s="7">
        <v>778.44481959848804</v>
      </c>
    </row>
    <row r="950" spans="2:3" x14ac:dyDescent="0.25">
      <c r="B950" t="str">
        <f>IF('Data Kumpulan'!B964=1,"Perkotaan","Pedesaan")</f>
        <v>Perkotaan</v>
      </c>
      <c r="C950" s="7">
        <v>1119.10841922691</v>
      </c>
    </row>
    <row r="951" spans="2:3" x14ac:dyDescent="0.25">
      <c r="B951" t="str">
        <f>IF('Data Kumpulan'!B965=1,"Perkotaan","Pedesaan")</f>
        <v>Pedesaan</v>
      </c>
      <c r="C951" s="7">
        <v>218.20747435321201</v>
      </c>
    </row>
    <row r="952" spans="2:3" x14ac:dyDescent="0.25">
      <c r="B952" t="str">
        <f>IF('Data Kumpulan'!B966=1,"Perkotaan","Pedesaan")</f>
        <v>Perkotaan</v>
      </c>
      <c r="C952" s="7">
        <v>1082.39798327177</v>
      </c>
    </row>
    <row r="953" spans="2:3" x14ac:dyDescent="0.25">
      <c r="B953" t="str">
        <f>IF('Data Kumpulan'!B967=1,"Perkotaan","Pedesaan")</f>
        <v>Pedesaan</v>
      </c>
      <c r="C953" s="7">
        <v>211.21119953197001</v>
      </c>
    </row>
    <row r="954" spans="2:3" x14ac:dyDescent="0.25">
      <c r="B954" t="str">
        <f>IF('Data Kumpulan'!B968=1,"Perkotaan","Pedesaan")</f>
        <v>Pedesaan</v>
      </c>
      <c r="C954" s="7">
        <v>479.03684336287301</v>
      </c>
    </row>
    <row r="955" spans="2:3" x14ac:dyDescent="0.25">
      <c r="B955" t="str">
        <f>IF('Data Kumpulan'!B969=1,"Perkotaan","Pedesaan")</f>
        <v>Pedesaan</v>
      </c>
      <c r="C955" s="7">
        <v>1586.88101096631</v>
      </c>
    </row>
    <row r="956" spans="2:3" x14ac:dyDescent="0.25">
      <c r="B956" t="str">
        <f>IF('Data Kumpulan'!B970=1,"Perkotaan","Pedesaan")</f>
        <v>Pedesaan</v>
      </c>
      <c r="C956" s="7">
        <v>260.39179241867203</v>
      </c>
    </row>
    <row r="957" spans="2:3" x14ac:dyDescent="0.25">
      <c r="B957" t="str">
        <f>IF('Data Kumpulan'!B971=1,"Perkotaan","Pedesaan")</f>
        <v>Perkotaan</v>
      </c>
      <c r="C957" s="7">
        <v>636.73121585999695</v>
      </c>
    </row>
    <row r="958" spans="2:3" x14ac:dyDescent="0.25">
      <c r="B958" t="str">
        <f>IF('Data Kumpulan'!B972=1,"Perkotaan","Pedesaan")</f>
        <v>Perkotaan</v>
      </c>
      <c r="C958" s="7">
        <v>929.16041552426395</v>
      </c>
    </row>
    <row r="959" spans="2:3" x14ac:dyDescent="0.25">
      <c r="B959" t="str">
        <f>IF('Data Kumpulan'!B973=1,"Perkotaan","Pedesaan")</f>
        <v>Perkotaan</v>
      </c>
      <c r="C959" s="7">
        <v>1074.25582988407</v>
      </c>
    </row>
    <row r="960" spans="2:3" x14ac:dyDescent="0.25">
      <c r="B960" t="str">
        <f>IF('Data Kumpulan'!B974=1,"Perkotaan","Pedesaan")</f>
        <v>Pedesaan</v>
      </c>
      <c r="C960" s="7">
        <v>449.19957525676602</v>
      </c>
    </row>
    <row r="961" spans="2:3" x14ac:dyDescent="0.25">
      <c r="B961" t="str">
        <f>IF('Data Kumpulan'!B975=1,"Perkotaan","Pedesaan")</f>
        <v>Pedesaan</v>
      </c>
      <c r="C961" s="7">
        <v>459.51358282821201</v>
      </c>
    </row>
    <row r="962" spans="2:3" x14ac:dyDescent="0.25">
      <c r="B962" t="str">
        <f>IF('Data Kumpulan'!B976=1,"Perkotaan","Pedesaan")</f>
        <v>Pedesaan</v>
      </c>
      <c r="C962" s="7">
        <v>671.63350844301101</v>
      </c>
    </row>
    <row r="963" spans="2:3" x14ac:dyDescent="0.25">
      <c r="B963" t="str">
        <f>IF('Data Kumpulan'!B977=1,"Perkotaan","Pedesaan")</f>
        <v>Pedesaan</v>
      </c>
      <c r="C963" s="7">
        <v>440.85293802190802</v>
      </c>
    </row>
    <row r="964" spans="2:3" x14ac:dyDescent="0.25">
      <c r="B964" t="str">
        <f>IF('Data Kumpulan'!B978=1,"Perkotaan","Pedesaan")</f>
        <v>Perkotaan</v>
      </c>
      <c r="C964" s="7">
        <v>368.25543018062001</v>
      </c>
    </row>
    <row r="965" spans="2:3" x14ac:dyDescent="0.25">
      <c r="B965" t="str">
        <f>IF('Data Kumpulan'!B979=1,"Perkotaan","Pedesaan")</f>
        <v>Pedesaan</v>
      </c>
      <c r="C965" s="7">
        <v>330.37099348140902</v>
      </c>
    </row>
    <row r="966" spans="2:3" x14ac:dyDescent="0.25">
      <c r="B966" t="str">
        <f>IF('Data Kumpulan'!B980=1,"Perkotaan","Pedesaan")</f>
        <v>Perkotaan</v>
      </c>
      <c r="C966" s="7">
        <v>775.84437141744104</v>
      </c>
    </row>
    <row r="967" spans="2:3" x14ac:dyDescent="0.25">
      <c r="B967" t="str">
        <f>IF('Data Kumpulan'!B981=1,"Perkotaan","Pedesaan")</f>
        <v>Pedesaan</v>
      </c>
      <c r="C967" s="7">
        <v>221.24432905318</v>
      </c>
    </row>
    <row r="968" spans="2:3" x14ac:dyDescent="0.25">
      <c r="B968" t="str">
        <f>IF('Data Kumpulan'!B982=1,"Perkotaan","Pedesaan")</f>
        <v>Pedesaan</v>
      </c>
      <c r="C968" s="7">
        <v>58.222827445149498</v>
      </c>
    </row>
    <row r="969" spans="2:3" x14ac:dyDescent="0.25">
      <c r="B969" t="str">
        <f>IF('Data Kumpulan'!B983=1,"Perkotaan","Pedesaan")</f>
        <v>Pedesaan</v>
      </c>
      <c r="C969" s="7">
        <v>77.723284521658201</v>
      </c>
    </row>
    <row r="970" spans="2:3" x14ac:dyDescent="0.25">
      <c r="B970" t="str">
        <f>IF('Data Kumpulan'!B984=1,"Perkotaan","Pedesaan")</f>
        <v>Pedesaan</v>
      </c>
      <c r="C970" s="7">
        <v>834.39722546732196</v>
      </c>
    </row>
    <row r="971" spans="2:3" x14ac:dyDescent="0.25">
      <c r="B971" t="str">
        <f>IF('Data Kumpulan'!B985=1,"Perkotaan","Pedesaan")</f>
        <v>Pedesaan</v>
      </c>
      <c r="C971" s="7">
        <v>586.70550450950702</v>
      </c>
    </row>
    <row r="972" spans="2:3" x14ac:dyDescent="0.25">
      <c r="B972" t="str">
        <f>IF('Data Kumpulan'!B986=1,"Perkotaan","Pedesaan")</f>
        <v>Perkotaan</v>
      </c>
      <c r="C972" s="7">
        <v>1009.97023579505</v>
      </c>
    </row>
    <row r="973" spans="2:3" x14ac:dyDescent="0.25">
      <c r="B973" t="str">
        <f>IF('Data Kumpulan'!B987=1,"Perkotaan","Pedesaan")</f>
        <v>Perkotaan</v>
      </c>
      <c r="C973" s="7">
        <v>462.88182548132801</v>
      </c>
    </row>
    <row r="974" spans="2:3" x14ac:dyDescent="0.25">
      <c r="B974" t="str">
        <f>IF('Data Kumpulan'!B988=1,"Perkotaan","Pedesaan")</f>
        <v>Pedesaan</v>
      </c>
      <c r="C974" s="7">
        <v>369.04206681644501</v>
      </c>
    </row>
    <row r="975" spans="2:3" x14ac:dyDescent="0.25">
      <c r="B975" t="str">
        <f>IF('Data Kumpulan'!B989=1,"Perkotaan","Pedesaan")</f>
        <v>Pedesaan</v>
      </c>
      <c r="C975" s="7">
        <v>22.9095277405765</v>
      </c>
    </row>
    <row r="976" spans="2:3" x14ac:dyDescent="0.25">
      <c r="B976" t="str">
        <f>IF('Data Kumpulan'!B990=1,"Perkotaan","Pedesaan")</f>
        <v>Pedesaan</v>
      </c>
      <c r="C976" s="7">
        <v>878.34235216643197</v>
      </c>
    </row>
    <row r="977" spans="2:3" x14ac:dyDescent="0.25">
      <c r="B977" t="str">
        <f>IF('Data Kumpulan'!B991=1,"Perkotaan","Pedesaan")</f>
        <v>Pedesaan</v>
      </c>
      <c r="C977" s="7">
        <v>399.98297527070702</v>
      </c>
    </row>
    <row r="978" spans="2:3" x14ac:dyDescent="0.25">
      <c r="B978" t="str">
        <f>IF('Data Kumpulan'!B992=1,"Perkotaan","Pedesaan")</f>
        <v>Perkotaan</v>
      </c>
      <c r="C978" s="7">
        <v>353.18263761691998</v>
      </c>
    </row>
    <row r="979" spans="2:3" x14ac:dyDescent="0.25">
      <c r="B979" t="str">
        <f>IF('Data Kumpulan'!B993=1,"Perkotaan","Pedesaan")</f>
        <v>Pedesaan</v>
      </c>
      <c r="C979" s="7">
        <v>98.111499046737407</v>
      </c>
    </row>
    <row r="980" spans="2:3" x14ac:dyDescent="0.25">
      <c r="B980" t="str">
        <f>IF('Data Kumpulan'!B994=1,"Perkotaan","Pedesaan")</f>
        <v>Pedesaan</v>
      </c>
      <c r="C980" s="7">
        <v>167.705982533927</v>
      </c>
    </row>
    <row r="981" spans="2:3" x14ac:dyDescent="0.25">
      <c r="B981" t="str">
        <f>IF('Data Kumpulan'!B995=1,"Perkotaan","Pedesaan")</f>
        <v>Perkotaan</v>
      </c>
      <c r="C981" s="7">
        <v>182.376581242469</v>
      </c>
    </row>
    <row r="982" spans="2:3" x14ac:dyDescent="0.25">
      <c r="B982" t="str">
        <f>IF('Data Kumpulan'!B996=1,"Perkotaan","Pedesaan")</f>
        <v>Perkotaan</v>
      </c>
      <c r="C982" s="7">
        <v>13.4554312195755</v>
      </c>
    </row>
    <row r="983" spans="2:3" x14ac:dyDescent="0.25">
      <c r="B983" t="str">
        <f>IF('Data Kumpulan'!B997=1,"Perkotaan","Pedesaan")</f>
        <v>Pedesaan</v>
      </c>
      <c r="C983" s="7">
        <v>427.45715957399301</v>
      </c>
    </row>
    <row r="984" spans="2:3" x14ac:dyDescent="0.25">
      <c r="B984" t="str">
        <f>IF('Data Kumpulan'!B998=1,"Perkotaan","Pedesaan")</f>
        <v>Pedesaan</v>
      </c>
      <c r="C984" s="7">
        <v>424.21257849241101</v>
      </c>
    </row>
    <row r="985" spans="2:3" x14ac:dyDescent="0.25">
      <c r="B985" t="str">
        <f>IF('Data Kumpulan'!B999=1,"Perkotaan","Pedesaan")</f>
        <v>Pedesaan</v>
      </c>
      <c r="C985" s="7">
        <v>816.58636966808501</v>
      </c>
    </row>
    <row r="986" spans="2:3" x14ac:dyDescent="0.25">
      <c r="B986" t="str">
        <f>IF('Data Kumpulan'!B1000=1,"Perkotaan","Pedesaan")</f>
        <v>Pedesaan</v>
      </c>
      <c r="C986" s="7">
        <v>710.64202107790402</v>
      </c>
    </row>
    <row r="987" spans="2:3" x14ac:dyDescent="0.25">
      <c r="B987" t="str">
        <f>IF('Data Kumpulan'!B1001=1,"Perkotaan","Pedesaan")</f>
        <v>Perkotaan</v>
      </c>
      <c r="C987" s="7">
        <v>201.890383635304</v>
      </c>
    </row>
    <row r="988" spans="2:3" x14ac:dyDescent="0.25">
      <c r="B988" t="str">
        <f>IF('Data Kumpulan'!B1002=1,"Perkotaan","Pedesaan")</f>
        <v>Perkotaan</v>
      </c>
      <c r="C988" s="7">
        <v>384.40251608023198</v>
      </c>
    </row>
    <row r="989" spans="2:3" x14ac:dyDescent="0.25">
      <c r="B989" t="str">
        <f>IF('Data Kumpulan'!B1003=1,"Perkotaan","Pedesaan")</f>
        <v>Perkotaan</v>
      </c>
      <c r="C989" s="7">
        <v>1349.5764323594001</v>
      </c>
    </row>
    <row r="990" spans="2:3" x14ac:dyDescent="0.25">
      <c r="B990" t="str">
        <f>IF('Data Kumpulan'!B1004=1,"Perkotaan","Pedesaan")</f>
        <v>Perkotaan</v>
      </c>
      <c r="C990" s="7">
        <v>326.96924394899497</v>
      </c>
    </row>
    <row r="991" spans="2:3" x14ac:dyDescent="0.25">
      <c r="B991" t="str">
        <f>IF('Data Kumpulan'!B1005=1,"Perkotaan","Pedesaan")</f>
        <v>Pedesaan</v>
      </c>
      <c r="C991" s="7">
        <v>785.28974209646003</v>
      </c>
    </row>
    <row r="992" spans="2:3" x14ac:dyDescent="0.25">
      <c r="B992" t="str">
        <f>IF('Data Kumpulan'!B1006=1,"Perkotaan","Pedesaan")</f>
        <v>Perkotaan</v>
      </c>
      <c r="C992" s="7">
        <v>989.78267318362396</v>
      </c>
    </row>
    <row r="993" spans="2:3" x14ac:dyDescent="0.25">
      <c r="B993" t="str">
        <f>IF('Data Kumpulan'!B1007=1,"Perkotaan","Pedesaan")</f>
        <v>Pedesaan</v>
      </c>
      <c r="C993" s="7">
        <v>117.035569263718</v>
      </c>
    </row>
    <row r="994" spans="2:3" x14ac:dyDescent="0.25">
      <c r="B994" t="str">
        <f>IF('Data Kumpulan'!B1008=1,"Perkotaan","Pedesaan")</f>
        <v>Pedesaan</v>
      </c>
      <c r="C994" s="7">
        <v>443.62413630103703</v>
      </c>
    </row>
    <row r="995" spans="2:3" x14ac:dyDescent="0.25">
      <c r="B995" t="str">
        <f>IF('Data Kumpulan'!B1009=1,"Perkotaan","Pedesaan")</f>
        <v>Pedesaan</v>
      </c>
      <c r="C995" s="7">
        <v>96.309495503982006</v>
      </c>
    </row>
    <row r="996" spans="2:3" x14ac:dyDescent="0.25">
      <c r="B996" t="str">
        <f>IF('Data Kumpulan'!B1010=1,"Perkotaan","Pedesaan")</f>
        <v>Perkotaan</v>
      </c>
      <c r="C996" s="7">
        <v>706.03109034926604</v>
      </c>
    </row>
    <row r="997" spans="2:3" x14ac:dyDescent="0.25">
      <c r="B997" t="str">
        <f>IF('Data Kumpulan'!B1011=1,"Perkotaan","Pedesaan")</f>
        <v>Pedesaan</v>
      </c>
      <c r="C997" s="7">
        <v>1007.18553838336</v>
      </c>
    </row>
    <row r="998" spans="2:3" x14ac:dyDescent="0.25">
      <c r="B998" t="str">
        <f>IF('Data Kumpulan'!B1012=1,"Perkotaan","Pedesaan")</f>
        <v>Pedesaan</v>
      </c>
      <c r="C998" s="7">
        <v>163.58085961270299</v>
      </c>
    </row>
    <row r="999" spans="2:3" x14ac:dyDescent="0.25">
      <c r="B999" t="str">
        <f>IF('Data Kumpulan'!B1013=1,"Perkotaan","Pedesaan")</f>
        <v>Pedesaan</v>
      </c>
      <c r="C999" s="7">
        <v>111.894728578593</v>
      </c>
    </row>
    <row r="1000" spans="2:3" x14ac:dyDescent="0.25">
      <c r="B1000" t="str">
        <f>IF('Data Kumpulan'!B1014=1,"Perkotaan","Pedesaan")</f>
        <v>Pedesaan</v>
      </c>
      <c r="C1000" s="7">
        <v>20.0388506118504</v>
      </c>
    </row>
    <row r="1001" spans="2:3" x14ac:dyDescent="0.25">
      <c r="B1001" t="str">
        <f>IF('Data Kumpulan'!B1015=1,"Perkotaan","Pedesaan")</f>
        <v>Perkotaan</v>
      </c>
      <c r="C1001" s="7">
        <v>1006.61487958993</v>
      </c>
    </row>
    <row r="1002" spans="2:3" x14ac:dyDescent="0.25">
      <c r="B1002" t="str">
        <f>IF('Data Kumpulan'!B1016=1,"Perkotaan","Pedesaan")</f>
        <v>Pedesaan</v>
      </c>
      <c r="C1002" s="7">
        <v>1686.1679588586901</v>
      </c>
    </row>
    <row r="1003" spans="2:3" x14ac:dyDescent="0.25">
      <c r="B1003" t="str">
        <f>IF('Data Kumpulan'!B1017=1,"Perkotaan","Pedesaan")</f>
        <v>Pedesaan</v>
      </c>
      <c r="C1003" s="7">
        <v>397.71913984008302</v>
      </c>
    </row>
    <row r="1004" spans="2:3" x14ac:dyDescent="0.25">
      <c r="B1004" t="str">
        <f>IF('Data Kumpulan'!B1018=1,"Perkotaan","Pedesaan")</f>
        <v>Perkotaan</v>
      </c>
      <c r="C1004" s="7">
        <v>877.09023501563001</v>
      </c>
    </row>
    <row r="1005" spans="2:3" x14ac:dyDescent="0.25">
      <c r="B1005" t="str">
        <f>IF('Data Kumpulan'!B1019=1,"Perkotaan","Pedesaan")</f>
        <v>Perkotaan</v>
      </c>
      <c r="C1005" s="7">
        <v>1189.7509213204801</v>
      </c>
    </row>
    <row r="1006" spans="2:3" x14ac:dyDescent="0.25">
      <c r="B1006" t="str">
        <f>IF('Data Kumpulan'!B1020=1,"Perkotaan","Pedesaan")</f>
        <v>Pedesaan</v>
      </c>
      <c r="C1006" s="7">
        <v>690.13722758416395</v>
      </c>
    </row>
    <row r="1007" spans="2:3" x14ac:dyDescent="0.25">
      <c r="B1007" t="str">
        <f>IF('Data Kumpulan'!B1021=1,"Perkotaan","Pedesaan")</f>
        <v>Perkotaan</v>
      </c>
      <c r="C1007" s="7">
        <v>532.61661844132004</v>
      </c>
    </row>
    <row r="1008" spans="2:3" x14ac:dyDescent="0.25">
      <c r="B1008" t="str">
        <f>IF('Data Kumpulan'!B1022=1,"Perkotaan","Pedesaan")</f>
        <v>Pedesaan</v>
      </c>
      <c r="C1008" s="7">
        <v>790.05147619429397</v>
      </c>
    </row>
    <row r="1009" spans="2:3" x14ac:dyDescent="0.25">
      <c r="B1009" t="str">
        <f>IF('Data Kumpulan'!B1023=1,"Perkotaan","Pedesaan")</f>
        <v>Pedesaan</v>
      </c>
      <c r="C1009" s="7">
        <v>402.81565087932501</v>
      </c>
    </row>
    <row r="1010" spans="2:3" x14ac:dyDescent="0.25">
      <c r="B1010" t="str">
        <f>IF('Data Kumpulan'!B1024=1,"Perkotaan","Pedesaan")</f>
        <v>Perkotaan</v>
      </c>
      <c r="C1010" s="7">
        <v>1063.9753495832001</v>
      </c>
    </row>
    <row r="1011" spans="2:3" x14ac:dyDescent="0.25">
      <c r="B1011" t="str">
        <f>IF('Data Kumpulan'!B1025=1,"Perkotaan","Pedesaan")</f>
        <v>Perkotaan</v>
      </c>
      <c r="C1011" s="7">
        <v>1159.3291919866499</v>
      </c>
    </row>
    <row r="1012" spans="2:3" x14ac:dyDescent="0.25">
      <c r="B1012" t="str">
        <f>IF('Data Kumpulan'!B1026=1,"Perkotaan","Pedesaan")</f>
        <v>Pedesaan</v>
      </c>
      <c r="C1012" s="7">
        <v>720.62040492383505</v>
      </c>
    </row>
    <row r="1013" spans="2:3" x14ac:dyDescent="0.25">
      <c r="B1013" t="str">
        <f>IF('Data Kumpulan'!B1027=1,"Perkotaan","Pedesaan")</f>
        <v>Pedesaan</v>
      </c>
      <c r="C1013" s="7">
        <v>381.13107200077502</v>
      </c>
    </row>
    <row r="1014" spans="2:3" x14ac:dyDescent="0.25">
      <c r="B1014" t="str">
        <f>IF('Data Kumpulan'!B1028=1,"Perkotaan","Pedesaan")</f>
        <v>Perkotaan</v>
      </c>
      <c r="C1014" s="7">
        <v>600.54615106931601</v>
      </c>
    </row>
    <row r="1015" spans="2:3" x14ac:dyDescent="0.25">
      <c r="B1015" t="str">
        <f>IF('Data Kumpulan'!B1029=1,"Perkotaan","Pedesaan")</f>
        <v>Pedesaan</v>
      </c>
      <c r="C1015" s="7">
        <v>401.04290173566102</v>
      </c>
    </row>
    <row r="1016" spans="2:3" x14ac:dyDescent="0.25">
      <c r="B1016" t="str">
        <f>IF('Data Kumpulan'!B1030=1,"Perkotaan","Pedesaan")</f>
        <v>Pedesaan</v>
      </c>
      <c r="C1016" s="7">
        <v>136.51575163151</v>
      </c>
    </row>
    <row r="1017" spans="2:3" x14ac:dyDescent="0.25">
      <c r="B1017" t="str">
        <f>IF('Data Kumpulan'!B1031=1,"Perkotaan","Pedesaan")</f>
        <v>Perkotaan</v>
      </c>
      <c r="C1017" s="7">
        <v>511.21581035138303</v>
      </c>
    </row>
    <row r="1018" spans="2:3" x14ac:dyDescent="0.25">
      <c r="B1018" t="str">
        <f>IF('Data Kumpulan'!B1032=1,"Perkotaan","Pedesaan")</f>
        <v>Perkotaan</v>
      </c>
      <c r="C1018" s="7">
        <v>915.53101824809403</v>
      </c>
    </row>
    <row r="1019" spans="2:3" x14ac:dyDescent="0.25">
      <c r="B1019" t="str">
        <f>IF('Data Kumpulan'!B1033=1,"Perkotaan","Pedesaan")</f>
        <v>Pedesaan</v>
      </c>
      <c r="C1019" s="7">
        <v>488.27891976311997</v>
      </c>
    </row>
    <row r="1020" spans="2:3" x14ac:dyDescent="0.25">
      <c r="B1020" t="str">
        <f>IF('Data Kumpulan'!B1034=1,"Perkotaan","Pedesaan")</f>
        <v>Pedesaan</v>
      </c>
      <c r="C1020" s="7">
        <v>91.0208449858374</v>
      </c>
    </row>
    <row r="1021" spans="2:3" x14ac:dyDescent="0.25">
      <c r="B1021" t="str">
        <f>IF('Data Kumpulan'!B1035=1,"Perkotaan","Pedesaan")</f>
        <v>Pedesaan</v>
      </c>
      <c r="C1021" s="7">
        <v>411.40922696777301</v>
      </c>
    </row>
    <row r="1022" spans="2:3" x14ac:dyDescent="0.25">
      <c r="B1022" t="str">
        <f>IF('Data Kumpulan'!B1036=1,"Perkotaan","Pedesaan")</f>
        <v>Perkotaan</v>
      </c>
      <c r="C1022" s="7">
        <v>434.76122202704897</v>
      </c>
    </row>
    <row r="1023" spans="2:3" x14ac:dyDescent="0.25">
      <c r="B1023" t="str">
        <f>IF('Data Kumpulan'!B1037=1,"Perkotaan","Pedesaan")</f>
        <v>Perkotaan</v>
      </c>
      <c r="C1023" s="7">
        <v>571.86990071683203</v>
      </c>
    </row>
    <row r="1024" spans="2:3" x14ac:dyDescent="0.25">
      <c r="B1024" t="str">
        <f>IF('Data Kumpulan'!B1038=1,"Perkotaan","Pedesaan")</f>
        <v>Perkotaan</v>
      </c>
      <c r="C1024" s="7">
        <v>555.47390353922106</v>
      </c>
    </row>
    <row r="1025" spans="2:3" x14ac:dyDescent="0.25">
      <c r="B1025" t="str">
        <f>IF('Data Kumpulan'!B1039=1,"Perkotaan","Pedesaan")</f>
        <v>Perkotaan</v>
      </c>
      <c r="C1025" s="7">
        <v>551.80691478088102</v>
      </c>
    </row>
    <row r="1026" spans="2:3" x14ac:dyDescent="0.25">
      <c r="B1026" t="str">
        <f>IF('Data Kumpulan'!B1040=1,"Perkotaan","Pedesaan")</f>
        <v>Perkotaan</v>
      </c>
      <c r="C1026" s="7">
        <v>887.275550773649</v>
      </c>
    </row>
    <row r="1027" spans="2:3" x14ac:dyDescent="0.25">
      <c r="B1027" t="str">
        <f>IF('Data Kumpulan'!B1041=1,"Perkotaan","Pedesaan")</f>
        <v>Perkotaan</v>
      </c>
      <c r="C1027" s="7">
        <v>600.78167431981001</v>
      </c>
    </row>
    <row r="1028" spans="2:3" x14ac:dyDescent="0.25">
      <c r="B1028" t="str">
        <f>IF('Data Kumpulan'!B1042=1,"Perkotaan","Pedesaan")</f>
        <v>Pedesaan</v>
      </c>
      <c r="C1028" s="7">
        <v>602.20329814789795</v>
      </c>
    </row>
    <row r="1029" spans="2:3" x14ac:dyDescent="0.25">
      <c r="B1029" t="str">
        <f>IF('Data Kumpulan'!B1043=1,"Perkotaan","Pedesaan")</f>
        <v>Perkotaan</v>
      </c>
      <c r="C1029" s="7">
        <v>1603.0038557498001</v>
      </c>
    </row>
    <row r="1030" spans="2:3" x14ac:dyDescent="0.25">
      <c r="B1030" t="str">
        <f>IF('Data Kumpulan'!B1044=1,"Perkotaan","Pedesaan")</f>
        <v>Pedesaan</v>
      </c>
      <c r="C1030" s="7">
        <v>328.18145689889002</v>
      </c>
    </row>
    <row r="1031" spans="2:3" x14ac:dyDescent="0.25">
      <c r="B1031" t="str">
        <f>IF('Data Kumpulan'!B1045=1,"Perkotaan","Pedesaan")</f>
        <v>Pedesaan</v>
      </c>
      <c r="C1031" s="7">
        <v>336.73717452656001</v>
      </c>
    </row>
    <row r="1032" spans="2:3" x14ac:dyDescent="0.25">
      <c r="B1032" t="str">
        <f>IF('Data Kumpulan'!B1046=1,"Perkotaan","Pedesaan")</f>
        <v>Pedesaan</v>
      </c>
      <c r="C1032" s="7">
        <v>303.55129279433402</v>
      </c>
    </row>
    <row r="1033" spans="2:3" x14ac:dyDescent="0.25">
      <c r="B1033" t="str">
        <f>IF('Data Kumpulan'!B1047=1,"Perkotaan","Pedesaan")</f>
        <v>Perkotaan</v>
      </c>
      <c r="C1033" s="7">
        <v>410.13319371540001</v>
      </c>
    </row>
    <row r="1034" spans="2:3" x14ac:dyDescent="0.25">
      <c r="B1034" t="str">
        <f>IF('Data Kumpulan'!B1048=1,"Perkotaan","Pedesaan")</f>
        <v>Pedesaan</v>
      </c>
      <c r="C1034" s="7">
        <v>631.429129905644</v>
      </c>
    </row>
    <row r="1035" spans="2:3" x14ac:dyDescent="0.25">
      <c r="B1035" t="str">
        <f>IF('Data Kumpulan'!B1049=1,"Perkotaan","Pedesaan")</f>
        <v>Pedesaan</v>
      </c>
      <c r="C1035" s="7">
        <v>28.0586504138771</v>
      </c>
    </row>
    <row r="1036" spans="2:3" x14ac:dyDescent="0.25">
      <c r="B1036" t="str">
        <f>IF('Data Kumpulan'!B1050=1,"Perkotaan","Pedesaan")</f>
        <v>Pedesaan</v>
      </c>
      <c r="C1036" s="7">
        <v>556.60261861021604</v>
      </c>
    </row>
    <row r="1037" spans="2:3" x14ac:dyDescent="0.25">
      <c r="B1037" t="str">
        <f>IF('Data Kumpulan'!B1051=1,"Perkotaan","Pedesaan")</f>
        <v>Pedesaan</v>
      </c>
      <c r="C1037" s="7">
        <v>1286.71260200814</v>
      </c>
    </row>
    <row r="1038" spans="2:3" x14ac:dyDescent="0.25">
      <c r="B1038" t="str">
        <f>IF('Data Kumpulan'!B1052=1,"Perkotaan","Pedesaan")</f>
        <v>Pedesaan</v>
      </c>
      <c r="C1038" s="7">
        <v>383.95927336514501</v>
      </c>
    </row>
    <row r="1039" spans="2:3" x14ac:dyDescent="0.25">
      <c r="B1039" t="str">
        <f>IF('Data Kumpulan'!B1053=1,"Perkotaan","Pedesaan")</f>
        <v>Perkotaan</v>
      </c>
      <c r="C1039" s="7">
        <v>975.53490922491403</v>
      </c>
    </row>
    <row r="1040" spans="2:3" x14ac:dyDescent="0.25">
      <c r="B1040" t="str">
        <f>IF('Data Kumpulan'!B1054=1,"Perkotaan","Pedesaan")</f>
        <v>Pedesaan</v>
      </c>
      <c r="C1040" s="7">
        <v>630.678558769755</v>
      </c>
    </row>
    <row r="1041" spans="2:3" x14ac:dyDescent="0.25">
      <c r="B1041" t="str">
        <f>IF('Data Kumpulan'!B1055=1,"Perkotaan","Pedesaan")</f>
        <v>Pedesaan</v>
      </c>
      <c r="C1041" s="7">
        <v>24.1798269666115</v>
      </c>
    </row>
    <row r="1042" spans="2:3" x14ac:dyDescent="0.25">
      <c r="B1042" t="str">
        <f>IF('Data Kumpulan'!B1056=1,"Perkotaan","Pedesaan")</f>
        <v>Perkotaan</v>
      </c>
      <c r="C1042" s="7">
        <v>547.557644945839</v>
      </c>
    </row>
    <row r="1043" spans="2:3" x14ac:dyDescent="0.25">
      <c r="B1043" t="str">
        <f>IF('Data Kumpulan'!B1057=1,"Perkotaan","Pedesaan")</f>
        <v>Pedesaan</v>
      </c>
      <c r="C1043" s="7">
        <v>349.690837549744</v>
      </c>
    </row>
    <row r="1044" spans="2:3" x14ac:dyDescent="0.25">
      <c r="B1044" t="str">
        <f>IF('Data Kumpulan'!B1058=1,"Perkotaan","Pedesaan")</f>
        <v>Perkotaan</v>
      </c>
      <c r="C1044" s="7">
        <v>257.48831594779801</v>
      </c>
    </row>
    <row r="1045" spans="2:3" x14ac:dyDescent="0.25">
      <c r="B1045" t="str">
        <f>IF('Data Kumpulan'!B1059=1,"Perkotaan","Pedesaan")</f>
        <v>Pedesaan</v>
      </c>
      <c r="C1045" s="7">
        <v>302.91704223973898</v>
      </c>
    </row>
    <row r="1046" spans="2:3" x14ac:dyDescent="0.25">
      <c r="B1046" t="str">
        <f>IF('Data Kumpulan'!B1060=1,"Perkotaan","Pedesaan")</f>
        <v>Perkotaan</v>
      </c>
      <c r="C1046" s="7">
        <v>1518.4660428851</v>
      </c>
    </row>
    <row r="1047" spans="2:3" x14ac:dyDescent="0.25">
      <c r="B1047" t="str">
        <f>IF('Data Kumpulan'!B1061=1,"Perkotaan","Pedesaan")</f>
        <v>Pedesaan</v>
      </c>
      <c r="C1047" s="7">
        <v>1221.37832807275</v>
      </c>
    </row>
    <row r="1048" spans="2:3" x14ac:dyDescent="0.25">
      <c r="B1048" t="str">
        <f>IF('Data Kumpulan'!B1062=1,"Perkotaan","Pedesaan")</f>
        <v>Perkotaan</v>
      </c>
      <c r="C1048" s="7">
        <v>624.51937926060202</v>
      </c>
    </row>
    <row r="1049" spans="2:3" x14ac:dyDescent="0.25">
      <c r="B1049" t="str">
        <f>IF('Data Kumpulan'!B1063=1,"Perkotaan","Pedesaan")</f>
        <v>Pedesaan</v>
      </c>
      <c r="C1049" s="7">
        <v>343.10202339411597</v>
      </c>
    </row>
    <row r="1050" spans="2:3" x14ac:dyDescent="0.25">
      <c r="B1050" t="str">
        <f>IF('Data Kumpulan'!B1064=1,"Perkotaan","Pedesaan")</f>
        <v>Pedesaan</v>
      </c>
      <c r="C1050" s="7">
        <v>389.76254934081902</v>
      </c>
    </row>
    <row r="1051" spans="2:3" x14ac:dyDescent="0.25">
      <c r="B1051" t="str">
        <f>IF('Data Kumpulan'!B1065=1,"Perkotaan","Pedesaan")</f>
        <v>Pedesaan</v>
      </c>
      <c r="C1051" s="7">
        <v>252.205516778218</v>
      </c>
    </row>
    <row r="1052" spans="2:3" x14ac:dyDescent="0.25">
      <c r="B1052" t="str">
        <f>IF('Data Kumpulan'!B1066=1,"Perkotaan","Pedesaan")</f>
        <v>Perkotaan</v>
      </c>
      <c r="C1052" s="7">
        <v>939.13415668962602</v>
      </c>
    </row>
    <row r="1053" spans="2:3" x14ac:dyDescent="0.25">
      <c r="B1053" t="str">
        <f>IF('Data Kumpulan'!B1067=1,"Perkotaan","Pedesaan")</f>
        <v>Pedesaan</v>
      </c>
      <c r="C1053" s="7">
        <v>720.26306949789796</v>
      </c>
    </row>
    <row r="1054" spans="2:3" x14ac:dyDescent="0.25">
      <c r="B1054" t="str">
        <f>IF('Data Kumpulan'!B1068=1,"Perkotaan","Pedesaan")</f>
        <v>Pedesaan</v>
      </c>
      <c r="C1054" s="7">
        <v>196.91543007853201</v>
      </c>
    </row>
    <row r="1055" spans="2:3" x14ac:dyDescent="0.25">
      <c r="B1055" t="str">
        <f>IF('Data Kumpulan'!B1069=1,"Perkotaan","Pedesaan")</f>
        <v>Pedesaan</v>
      </c>
      <c r="C1055" s="7">
        <v>582.16412633646905</v>
      </c>
    </row>
    <row r="1056" spans="2:3" x14ac:dyDescent="0.25">
      <c r="B1056" t="str">
        <f>IF('Data Kumpulan'!B1070=1,"Perkotaan","Pedesaan")</f>
        <v>Perkotaan</v>
      </c>
      <c r="C1056" s="7">
        <v>1140.06674687184</v>
      </c>
    </row>
    <row r="1057" spans="2:3" x14ac:dyDescent="0.25">
      <c r="B1057" t="str">
        <f>IF('Data Kumpulan'!B1071=1,"Perkotaan","Pedesaan")</f>
        <v>Pedesaan</v>
      </c>
      <c r="C1057" s="7">
        <v>535.54025583802002</v>
      </c>
    </row>
    <row r="1058" spans="2:3" x14ac:dyDescent="0.25">
      <c r="B1058" t="str">
        <f>IF('Data Kumpulan'!B1072=1,"Perkotaan","Pedesaan")</f>
        <v>Pedesaan</v>
      </c>
      <c r="C1058" s="7">
        <v>306.72463353816602</v>
      </c>
    </row>
    <row r="1059" spans="2:3" x14ac:dyDescent="0.25">
      <c r="B1059" t="str">
        <f>IF('Data Kumpulan'!B1073=1,"Perkotaan","Pedesaan")</f>
        <v>Pedesaan</v>
      </c>
      <c r="C1059" s="7">
        <v>62.268700175857298</v>
      </c>
    </row>
    <row r="1060" spans="2:3" x14ac:dyDescent="0.25">
      <c r="B1060" t="str">
        <f>IF('Data Kumpulan'!B1074=1,"Perkotaan","Pedesaan")</f>
        <v>Perkotaan</v>
      </c>
      <c r="C1060" s="7">
        <v>610.39795999639705</v>
      </c>
    </row>
    <row r="1061" spans="2:3" x14ac:dyDescent="0.25">
      <c r="B1061" t="str">
        <f>IF('Data Kumpulan'!B1075=1,"Perkotaan","Pedesaan")</f>
        <v>Pedesaan</v>
      </c>
      <c r="C1061" s="7">
        <v>622.33566849910903</v>
      </c>
    </row>
    <row r="1062" spans="2:3" x14ac:dyDescent="0.25">
      <c r="B1062" t="str">
        <f>IF('Data Kumpulan'!B1076=1,"Perkotaan","Pedesaan")</f>
        <v>Perkotaan</v>
      </c>
      <c r="C1062" s="7">
        <v>1358.3999356326699</v>
      </c>
    </row>
    <row r="1063" spans="2:3" x14ac:dyDescent="0.25">
      <c r="B1063" t="str">
        <f>IF('Data Kumpulan'!B1077=1,"Perkotaan","Pedesaan")</f>
        <v>Pedesaan</v>
      </c>
      <c r="C1063" s="7">
        <v>208.32555545827</v>
      </c>
    </row>
    <row r="1064" spans="2:3" x14ac:dyDescent="0.25">
      <c r="B1064" t="str">
        <f>IF('Data Kumpulan'!B1078=1,"Perkotaan","Pedesaan")</f>
        <v>Perkotaan</v>
      </c>
      <c r="C1064" s="7">
        <v>855.698300003138</v>
      </c>
    </row>
    <row r="1065" spans="2:3" x14ac:dyDescent="0.25">
      <c r="B1065" t="str">
        <f>IF('Data Kumpulan'!B1079=1,"Perkotaan","Pedesaan")</f>
        <v>Pedesaan</v>
      </c>
      <c r="C1065" s="7">
        <v>293.54174434498401</v>
      </c>
    </row>
    <row r="1066" spans="2:3" x14ac:dyDescent="0.25">
      <c r="B1066" t="str">
        <f>IF('Data Kumpulan'!B1080=1,"Perkotaan","Pedesaan")</f>
        <v>Pedesaan</v>
      </c>
      <c r="C1066" s="7">
        <v>110.951911167185</v>
      </c>
    </row>
    <row r="1067" spans="2:3" x14ac:dyDescent="0.25">
      <c r="B1067" t="str">
        <f>IF('Data Kumpulan'!B1081=1,"Perkotaan","Pedesaan")</f>
        <v>Perkotaan</v>
      </c>
      <c r="C1067" s="7">
        <v>461.80643209140601</v>
      </c>
    </row>
    <row r="1068" spans="2:3" x14ac:dyDescent="0.25">
      <c r="B1068" t="str">
        <f>IF('Data Kumpulan'!B1082=1,"Perkotaan","Pedesaan")</f>
        <v>Perkotaan</v>
      </c>
      <c r="C1068" s="7">
        <v>792.10793099208297</v>
      </c>
    </row>
    <row r="1069" spans="2:3" x14ac:dyDescent="0.25">
      <c r="B1069" t="str">
        <f>IF('Data Kumpulan'!B1083=1,"Perkotaan","Pedesaan")</f>
        <v>Perkotaan</v>
      </c>
      <c r="C1069" s="7">
        <v>1009.22079329244</v>
      </c>
    </row>
    <row r="1070" spans="2:3" x14ac:dyDescent="0.25">
      <c r="B1070" t="str">
        <f>IF('Data Kumpulan'!B1084=1,"Perkotaan","Pedesaan")</f>
        <v>Perkotaan</v>
      </c>
      <c r="C1070" s="7">
        <v>662.12204714744405</v>
      </c>
    </row>
    <row r="1071" spans="2:3" x14ac:dyDescent="0.25">
      <c r="B1071" t="str">
        <f>IF('Data Kumpulan'!B1085=1,"Perkotaan","Pedesaan")</f>
        <v>Pedesaan</v>
      </c>
      <c r="C1071" s="7">
        <v>164.137198826993</v>
      </c>
    </row>
    <row r="1072" spans="2:3" x14ac:dyDescent="0.25">
      <c r="B1072" t="str">
        <f>IF('Data Kumpulan'!B1086=1,"Perkotaan","Pedesaan")</f>
        <v>Pedesaan</v>
      </c>
      <c r="C1072" s="7">
        <v>433.224866309258</v>
      </c>
    </row>
    <row r="1073" spans="2:3" x14ac:dyDescent="0.25">
      <c r="B1073" t="str">
        <f>IF('Data Kumpulan'!B1087=1,"Perkotaan","Pedesaan")</f>
        <v>Perkotaan</v>
      </c>
      <c r="C1073" s="7">
        <v>647.97983815397902</v>
      </c>
    </row>
    <row r="1074" spans="2:3" x14ac:dyDescent="0.25">
      <c r="B1074" t="str">
        <f>IF('Data Kumpulan'!B1088=1,"Perkotaan","Pedesaan")</f>
        <v>Perkotaan</v>
      </c>
      <c r="C1074" s="7">
        <v>464.62868827274201</v>
      </c>
    </row>
    <row r="1075" spans="2:3" x14ac:dyDescent="0.25">
      <c r="B1075" t="str">
        <f>IF('Data Kumpulan'!B1089=1,"Perkotaan","Pedesaan")</f>
        <v>Pedesaan</v>
      </c>
      <c r="C1075" s="7">
        <v>453.77762333267401</v>
      </c>
    </row>
    <row r="1076" spans="2:3" x14ac:dyDescent="0.25">
      <c r="B1076" t="str">
        <f>IF('Data Kumpulan'!B1090=1,"Perkotaan","Pedesaan")</f>
        <v>Pedesaan</v>
      </c>
      <c r="C1076" s="7">
        <v>26.226395393252702</v>
      </c>
    </row>
    <row r="1077" spans="2:3" x14ac:dyDescent="0.25">
      <c r="B1077" t="str">
        <f>IF('Data Kumpulan'!B1091=1,"Perkotaan","Pedesaan")</f>
        <v>Perkotaan</v>
      </c>
      <c r="C1077" s="7">
        <v>994.54414079244805</v>
      </c>
    </row>
    <row r="1078" spans="2:3" x14ac:dyDescent="0.25">
      <c r="B1078" t="str">
        <f>IF('Data Kumpulan'!B1092=1,"Perkotaan","Pedesaan")</f>
        <v>Perkotaan</v>
      </c>
      <c r="C1078" s="7">
        <v>257.30757624284001</v>
      </c>
    </row>
    <row r="1079" spans="2:3" x14ac:dyDescent="0.25">
      <c r="B1079" t="str">
        <f>IF('Data Kumpulan'!B1094=1,"Perkotaan","Pedesaan")</f>
        <v>Perkotaan</v>
      </c>
      <c r="C1079" s="7">
        <v>423.00778605228402</v>
      </c>
    </row>
    <row r="1080" spans="2:3" x14ac:dyDescent="0.25">
      <c r="B1080" t="str">
        <f>IF('Data Kumpulan'!B1095=1,"Perkotaan","Pedesaan")</f>
        <v>Pedesaan</v>
      </c>
      <c r="C1080" s="7">
        <v>275.72124420046902</v>
      </c>
    </row>
    <row r="1081" spans="2:3" x14ac:dyDescent="0.25">
      <c r="B1081" t="str">
        <f>IF('Data Kumpulan'!B1096=1,"Perkotaan","Pedesaan")</f>
        <v>Perkotaan</v>
      </c>
      <c r="C1081" s="7">
        <v>611.87196839280602</v>
      </c>
    </row>
    <row r="1082" spans="2:3" x14ac:dyDescent="0.25">
      <c r="B1082" t="str">
        <f>IF('Data Kumpulan'!B1097=1,"Perkotaan","Pedesaan")</f>
        <v>Pedesaan</v>
      </c>
      <c r="C1082" s="7">
        <v>258.24169597951601</v>
      </c>
    </row>
    <row r="1083" spans="2:3" x14ac:dyDescent="0.25">
      <c r="B1083" t="str">
        <f>IF('Data Kumpulan'!B1098=1,"Perkotaan","Pedesaan")</f>
        <v>Perkotaan</v>
      </c>
      <c r="C1083" s="7">
        <v>682.95538064777395</v>
      </c>
    </row>
    <row r="1084" spans="2:3" x14ac:dyDescent="0.25">
      <c r="B1084" t="str">
        <f>IF('Data Kumpulan'!B1099=1,"Perkotaan","Pedesaan")</f>
        <v>Perkotaan</v>
      </c>
      <c r="C1084" s="7">
        <v>685.36433200721297</v>
      </c>
    </row>
    <row r="1085" spans="2:3" x14ac:dyDescent="0.25">
      <c r="B1085" t="str">
        <f>IF('Data Kumpulan'!B1100=1,"Perkotaan","Pedesaan")</f>
        <v>Perkotaan</v>
      </c>
      <c r="C1085" s="7">
        <v>755.183583389418</v>
      </c>
    </row>
    <row r="1086" spans="2:3" x14ac:dyDescent="0.25">
      <c r="B1086" t="str">
        <f>IF('Data Kumpulan'!B1101=1,"Perkotaan","Pedesaan")</f>
        <v>Perkotaan</v>
      </c>
      <c r="C1086" s="7">
        <v>1182.8476655738</v>
      </c>
    </row>
    <row r="1087" spans="2:3" x14ac:dyDescent="0.25">
      <c r="B1087" t="str">
        <f>IF('Data Kumpulan'!B1102=1,"Perkotaan","Pedesaan")</f>
        <v>Perkotaan</v>
      </c>
      <c r="C1087" s="7">
        <v>1594.5815350021501</v>
      </c>
    </row>
    <row r="1088" spans="2:3" x14ac:dyDescent="0.25">
      <c r="B1088" t="str">
        <f>IF('Data Kumpulan'!B1103=1,"Perkotaan","Pedesaan")</f>
        <v>Pedesaan</v>
      </c>
      <c r="C1088" s="7">
        <v>1327.7694413445299</v>
      </c>
    </row>
    <row r="1089" spans="2:3" x14ac:dyDescent="0.25">
      <c r="B1089" t="str">
        <f>IF('Data Kumpulan'!B1104=1,"Perkotaan","Pedesaan")</f>
        <v>Perkotaan</v>
      </c>
      <c r="C1089" s="7">
        <v>738.72812419019795</v>
      </c>
    </row>
    <row r="1090" spans="2:3" x14ac:dyDescent="0.25">
      <c r="B1090" t="str">
        <f>IF('Data Kumpulan'!B1105=1,"Perkotaan","Pedesaan")</f>
        <v>Pedesaan</v>
      </c>
      <c r="C1090" s="7">
        <v>189.53169237667501</v>
      </c>
    </row>
    <row r="1091" spans="2:3" x14ac:dyDescent="0.25">
      <c r="B1091" t="str">
        <f>IF('Data Kumpulan'!B1106=1,"Perkotaan","Pedesaan")</f>
        <v>Pedesaan</v>
      </c>
      <c r="C1091" s="7">
        <v>995.86833596855399</v>
      </c>
    </row>
    <row r="1092" spans="2:3" x14ac:dyDescent="0.25">
      <c r="B1092" t="str">
        <f>IF('Data Kumpulan'!B1107=1,"Perkotaan","Pedesaan")</f>
        <v>Perkotaan</v>
      </c>
      <c r="C1092" s="7">
        <v>1450.12501313908</v>
      </c>
    </row>
    <row r="1093" spans="2:3" x14ac:dyDescent="0.25">
      <c r="B1093" t="str">
        <f>IF('Data Kumpulan'!B1108=1,"Perkotaan","Pedesaan")</f>
        <v>Pedesaan</v>
      </c>
      <c r="C1093" s="7">
        <v>222.25163808131799</v>
      </c>
    </row>
    <row r="1094" spans="2:3" x14ac:dyDescent="0.25">
      <c r="B1094" t="str">
        <f>IF('Data Kumpulan'!B1109=1,"Perkotaan","Pedesaan")</f>
        <v>Pedesaan</v>
      </c>
      <c r="C1094" s="7">
        <v>1209.6795472300701</v>
      </c>
    </row>
    <row r="1095" spans="2:3" x14ac:dyDescent="0.25">
      <c r="B1095" t="str">
        <f>IF('Data Kumpulan'!B1110=1,"Perkotaan","Pedesaan")</f>
        <v>Pedesaan</v>
      </c>
      <c r="C1095" s="7">
        <v>663.24972614439105</v>
      </c>
    </row>
    <row r="1096" spans="2:3" x14ac:dyDescent="0.25">
      <c r="B1096" t="str">
        <f>IF('Data Kumpulan'!B1111=1,"Perkotaan","Pedesaan")</f>
        <v>Perkotaan</v>
      </c>
      <c r="C1096" s="7">
        <v>637.64387573902604</v>
      </c>
    </row>
    <row r="1097" spans="2:3" x14ac:dyDescent="0.25">
      <c r="B1097" t="str">
        <f>IF('Data Kumpulan'!B1112=1,"Perkotaan","Pedesaan")</f>
        <v>Perkotaan</v>
      </c>
      <c r="C1097" s="7">
        <v>1546.8990863572899</v>
      </c>
    </row>
    <row r="1098" spans="2:3" x14ac:dyDescent="0.25">
      <c r="B1098" t="str">
        <f>IF('Data Kumpulan'!B1113=1,"Perkotaan","Pedesaan")</f>
        <v>Perkotaan</v>
      </c>
      <c r="C1098" s="7">
        <v>321.81846722307603</v>
      </c>
    </row>
    <row r="1099" spans="2:3" x14ac:dyDescent="0.25">
      <c r="B1099" t="str">
        <f>IF('Data Kumpulan'!B1114=1,"Perkotaan","Pedesaan")</f>
        <v>Pedesaan</v>
      </c>
      <c r="C1099" s="7">
        <v>93.8148082504282</v>
      </c>
    </row>
    <row r="1100" spans="2:3" x14ac:dyDescent="0.25">
      <c r="B1100" t="str">
        <f>IF('Data Kumpulan'!B1115=1,"Perkotaan","Pedesaan")</f>
        <v>Pedesaan</v>
      </c>
      <c r="C1100" s="7">
        <v>533.26786977193103</v>
      </c>
    </row>
    <row r="1101" spans="2:3" x14ac:dyDescent="0.25">
      <c r="B1101" t="str">
        <f>IF('Data Kumpulan'!B1116=1,"Perkotaan","Pedesaan")</f>
        <v>Perkotaan</v>
      </c>
      <c r="C1101" s="7">
        <v>608.21645789450395</v>
      </c>
    </row>
    <row r="1102" spans="2:3" x14ac:dyDescent="0.25">
      <c r="B1102" t="str">
        <f>IF('Data Kumpulan'!B1117=1,"Perkotaan","Pedesaan")</f>
        <v>Perkotaan</v>
      </c>
      <c r="C1102" s="7">
        <v>1163.11755293184</v>
      </c>
    </row>
    <row r="1103" spans="2:3" x14ac:dyDescent="0.25">
      <c r="B1103" t="str">
        <f>IF('Data Kumpulan'!B1118=1,"Perkotaan","Pedesaan")</f>
        <v>Pedesaan</v>
      </c>
      <c r="C1103" s="7">
        <v>29.995354201422</v>
      </c>
    </row>
    <row r="1104" spans="2:3" x14ac:dyDescent="0.25">
      <c r="B1104" t="str">
        <f>IF('Data Kumpulan'!B1119=1,"Perkotaan","Pedesaan")</f>
        <v>Perkotaan</v>
      </c>
      <c r="C1104" s="7">
        <v>882.40557206943697</v>
      </c>
    </row>
    <row r="1105" spans="1:3" x14ac:dyDescent="0.25">
      <c r="B1105" t="str">
        <f>IF('Data Kumpulan'!B1120=1,"Perkotaan","Pedesaan")</f>
        <v>Perkotaan</v>
      </c>
      <c r="C1105" s="7">
        <v>478.26040585443201</v>
      </c>
    </row>
    <row r="1106" spans="1:3" x14ac:dyDescent="0.25">
      <c r="B1106" t="str">
        <f>IF('Data Kumpulan'!B1121=1,"Perkotaan","Pedesaan")</f>
        <v>Perkotaan</v>
      </c>
      <c r="C1106" s="7">
        <v>764.44223559178101</v>
      </c>
    </row>
    <row r="1107" spans="1:3" x14ac:dyDescent="0.25">
      <c r="B1107" t="str">
        <f>IF('Data Kumpulan'!B1122=1,"Perkotaan","Pedesaan")</f>
        <v>Pedesaan</v>
      </c>
      <c r="C1107" s="7">
        <v>140.935648957594</v>
      </c>
    </row>
    <row r="1108" spans="1:3" x14ac:dyDescent="0.25">
      <c r="B1108" t="str">
        <f>IF('Data Kumpulan'!B1123=1,"Perkotaan","Pedesaan")</f>
        <v>Pedesaan</v>
      </c>
      <c r="C1108" s="7">
        <v>19.232689955051899</v>
      </c>
    </row>
    <row r="1109" spans="1:3" x14ac:dyDescent="0.25">
      <c r="B1109" t="str">
        <f>IF('Data Kumpulan'!B1124=1,"Perkotaan","Pedesaan")</f>
        <v>Perkotaan</v>
      </c>
      <c r="C1109" s="7">
        <v>522.51669501321101</v>
      </c>
    </row>
    <row r="1110" spans="1:3" x14ac:dyDescent="0.25">
      <c r="B1110" t="str">
        <f>IF('Data Kumpulan'!B1125=1,"Perkotaan","Pedesaan")</f>
        <v>Pedesaan</v>
      </c>
      <c r="C1110" s="7">
        <v>106.25297755782501</v>
      </c>
    </row>
    <row r="1111" spans="1:3" x14ac:dyDescent="0.25">
      <c r="B1111" t="str">
        <f>IF('Data Kumpulan'!B1126=1,"Perkotaan","Pedesaan")</f>
        <v>Perkotaan</v>
      </c>
      <c r="C1111" s="7">
        <v>1034.7728582505299</v>
      </c>
    </row>
    <row r="1112" spans="1:3" x14ac:dyDescent="0.25">
      <c r="B1112" t="str">
        <f>IF('Data Kumpulan'!B1127=1,"Perkotaan","Pedesaan")</f>
        <v>Perkotaan</v>
      </c>
      <c r="C1112" s="7">
        <v>1527.8154762709601</v>
      </c>
    </row>
    <row r="1113" spans="1:3" x14ac:dyDescent="0.25">
      <c r="B1113" t="str">
        <f>IF('Data Kumpulan'!B1128=1,"Perkotaan","Pedesaan")</f>
        <v>Pedesaan</v>
      </c>
      <c r="C1113" s="7">
        <v>218.087841832762</v>
      </c>
    </row>
    <row r="1114" spans="1:3" x14ac:dyDescent="0.25">
      <c r="B1114" t="str">
        <f>IF('Data Kumpulan'!B1129=1,"Perkotaan","Pedesaan")</f>
        <v>Perkotaan</v>
      </c>
      <c r="C1114" s="7">
        <v>726.910611854546</v>
      </c>
    </row>
    <row r="1115" spans="1:3" x14ac:dyDescent="0.25">
      <c r="B1115" t="str">
        <f>IF('Data Kumpulan'!B1130=1,"Perkotaan","Pedesaan")</f>
        <v>Perkotaan</v>
      </c>
      <c r="C1115" s="7">
        <v>1247.95419674749</v>
      </c>
    </row>
    <row r="1116" spans="1:3" x14ac:dyDescent="0.25">
      <c r="A1116" t="str">
        <f>IF('Data Kumpulan'!F19=1,"Ya","Tidak")</f>
        <v>Ya</v>
      </c>
      <c r="B1116" t="str">
        <f>IF('Data Kumpulan'!B19=1,"Perkotaan","Pedesaan")</f>
        <v>Perkotaan</v>
      </c>
      <c r="C1116" s="7">
        <v>627.84241762556906</v>
      </c>
    </row>
    <row r="1117" spans="1:3" x14ac:dyDescent="0.25">
      <c r="B1117" t="str">
        <f>IF('Data Kumpulan'!B24=1,"Perkotaan","Pedesaan")</f>
        <v>Pedesaan</v>
      </c>
      <c r="C1117" s="7">
        <v>607.31099778364705</v>
      </c>
    </row>
    <row r="1118" spans="1:3" x14ac:dyDescent="0.25">
      <c r="B1118" t="str">
        <f>IF('Data Kumpulan'!B59=1,"Perkotaan","Pedesaan")</f>
        <v>Perkotaan</v>
      </c>
      <c r="C1118" s="7">
        <v>479.50847684499502</v>
      </c>
    </row>
    <row r="1119" spans="1:3" x14ac:dyDescent="0.25">
      <c r="B1119" t="str">
        <f>IF('Data Kumpulan'!B236=1,"Perkotaan","Pedesaan")</f>
        <v>Perkotaan</v>
      </c>
      <c r="C1119" s="7">
        <v>76.295353634011306</v>
      </c>
    </row>
    <row r="1120" spans="1:3" x14ac:dyDescent="0.25">
      <c r="B1120" t="str">
        <f>IF('Data Kumpulan'!B278=1,"Perkotaan","Pedesaan")</f>
        <v>Pedesaan</v>
      </c>
      <c r="C1120" s="7">
        <v>222.24139820382899</v>
      </c>
    </row>
    <row r="1121" spans="2:3" x14ac:dyDescent="0.25">
      <c r="B1121" t="str">
        <f>IF('Data Kumpulan'!B387=1,"Perkotaan","Pedesaan")</f>
        <v>Perkotaan</v>
      </c>
      <c r="C1121" s="7">
        <v>1243.90213319793</v>
      </c>
    </row>
    <row r="1122" spans="2:3" x14ac:dyDescent="0.25">
      <c r="B1122" t="str">
        <f>IF('Data Kumpulan'!B512=1,"Perkotaan","Pedesaan")</f>
        <v>Pedesaan</v>
      </c>
      <c r="C1122" s="7">
        <v>192.62680627665699</v>
      </c>
    </row>
    <row r="1123" spans="2:3" x14ac:dyDescent="0.25">
      <c r="B1123" t="str">
        <f>IF('Data Kumpulan'!B731=1,"Perkotaan","Pedesaan")</f>
        <v>Pedesaan</v>
      </c>
      <c r="C1123" s="7">
        <v>418.96966335136102</v>
      </c>
    </row>
    <row r="1124" spans="2:3" x14ac:dyDescent="0.25">
      <c r="B1124" t="str">
        <f>IF('Data Kumpulan'!B834=1,"Perkotaan","Pedesaan")</f>
        <v>Pedesaan</v>
      </c>
      <c r="C1124" s="7">
        <v>375.63948179575902</v>
      </c>
    </row>
    <row r="1125" spans="2:3" x14ac:dyDescent="0.25">
      <c r="B1125" t="str">
        <f>IF('Data Kumpulan'!B847=1,"Perkotaan","Pedesaan")</f>
        <v>Pedesaan</v>
      </c>
      <c r="C1125" s="7">
        <v>105.16773620283401</v>
      </c>
    </row>
    <row r="1126" spans="2:3" x14ac:dyDescent="0.25">
      <c r="B1126" t="str">
        <f>IF('Data Kumpulan'!B862=1,"Perkotaan","Pedesaan")</f>
        <v>Pedesaan</v>
      </c>
      <c r="C1126" s="7">
        <v>357.01736613988601</v>
      </c>
    </row>
    <row r="1127" spans="2:3" x14ac:dyDescent="0.25">
      <c r="B1127" t="str">
        <f>IF('Data Kumpulan'!B928=1,"Perkotaan","Pedesaan")</f>
        <v>Pedesaan</v>
      </c>
      <c r="C1127" s="7">
        <v>1617.5829329759899</v>
      </c>
    </row>
    <row r="1128" spans="2:3" x14ac:dyDescent="0.25">
      <c r="B1128" t="str">
        <f>IF('Data Kumpulan'!B954=1,"Perkotaan","Pedesaan")</f>
        <v>Perkotaan</v>
      </c>
      <c r="C1128" s="7">
        <v>897.41061926036002</v>
      </c>
    </row>
    <row r="1129" spans="2:3" x14ac:dyDescent="0.25">
      <c r="B1129" t="str">
        <f>IF('Data Kumpulan'!B962=1,"Perkotaan","Pedesaan")</f>
        <v>Pedesaan</v>
      </c>
      <c r="C1129" s="7">
        <v>367.586470200907</v>
      </c>
    </row>
    <row r="1130" spans="2:3" x14ac:dyDescent="0.25">
      <c r="B1130" t="str">
        <f>IF('Data Kumpulan'!B1093=1,"Perkotaan","Pedesaan")</f>
        <v>Pedesaan</v>
      </c>
      <c r="C1130" s="10">
        <v>531.94036656371497</v>
      </c>
    </row>
  </sheetData>
  <sortState xmlns:xlrd2="http://schemas.microsoft.com/office/spreadsheetml/2017/richdata2" ref="A2:C1130">
    <sortCondition ref="A1124:A11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75C6-A7CB-4B72-B5B5-55918EF7AE1C}">
  <dimension ref="A1:T611"/>
  <sheetViews>
    <sheetView tabSelected="1" zoomScale="294" workbookViewId="0">
      <selection activeCell="E30" sqref="E30"/>
    </sheetView>
  </sheetViews>
  <sheetFormatPr defaultRowHeight="15" x14ac:dyDescent="0.25"/>
  <sheetData>
    <row r="1" spans="1:20" x14ac:dyDescent="0.25">
      <c r="A1" s="24" t="s">
        <v>10</v>
      </c>
      <c r="B1" s="24"/>
      <c r="C1" s="24"/>
      <c r="D1" s="24"/>
      <c r="E1" s="24"/>
      <c r="H1" s="24" t="s">
        <v>11</v>
      </c>
      <c r="I1" s="24"/>
      <c r="J1" s="24"/>
      <c r="K1" s="24"/>
      <c r="L1" s="24"/>
      <c r="O1" s="24" t="s">
        <v>12</v>
      </c>
      <c r="P1" s="24"/>
      <c r="Q1" s="24"/>
      <c r="R1" s="24"/>
      <c r="S1" s="24"/>
    </row>
    <row r="2" spans="1:20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O2" t="s">
        <v>4</v>
      </c>
      <c r="P2" t="s">
        <v>5</v>
      </c>
      <c r="Q2" t="s">
        <v>6</v>
      </c>
      <c r="R2" t="s">
        <v>7</v>
      </c>
      <c r="S2" t="s">
        <v>8</v>
      </c>
    </row>
    <row r="3" spans="1:20" x14ac:dyDescent="0.25">
      <c r="A3">
        <v>627.84241762556906</v>
      </c>
      <c r="B3">
        <v>323.34748813150702</v>
      </c>
      <c r="C3" s="7">
        <v>323.34748813150702</v>
      </c>
      <c r="D3" s="7">
        <v>192.62680627665699</v>
      </c>
      <c r="E3" s="7">
        <v>192.62680627665699</v>
      </c>
      <c r="H3">
        <v>627.84241762556906</v>
      </c>
      <c r="I3">
        <v>572.53685922140596</v>
      </c>
      <c r="J3">
        <v>572.53685922140596</v>
      </c>
      <c r="N3" s="7"/>
      <c r="O3" s="7">
        <v>607.31099778364705</v>
      </c>
      <c r="P3" s="7">
        <v>323.34748813150702</v>
      </c>
      <c r="Q3" s="7">
        <v>323.34748813150702</v>
      </c>
      <c r="R3" s="7">
        <v>192.62680627665699</v>
      </c>
      <c r="S3" s="7">
        <v>192.62680627665699</v>
      </c>
      <c r="T3" s="7"/>
    </row>
    <row r="4" spans="1:20" x14ac:dyDescent="0.25">
      <c r="A4">
        <v>607.31099778364705</v>
      </c>
      <c r="B4">
        <v>171.534266703985</v>
      </c>
      <c r="C4" s="7">
        <v>171.534266703985</v>
      </c>
      <c r="D4" s="7">
        <v>793.54915762020596</v>
      </c>
      <c r="E4" s="7">
        <v>793.54915762020596</v>
      </c>
      <c r="H4">
        <v>479.50847684499502</v>
      </c>
      <c r="I4">
        <v>1243.90213319793</v>
      </c>
      <c r="J4">
        <v>1243.90213319793</v>
      </c>
      <c r="N4" s="7"/>
      <c r="O4" s="7">
        <v>222.24139820382899</v>
      </c>
      <c r="P4" s="7">
        <v>171.534266703985</v>
      </c>
      <c r="Q4" s="7">
        <v>171.534266703985</v>
      </c>
      <c r="R4" s="7">
        <v>793.54915762020596</v>
      </c>
      <c r="S4" s="7">
        <v>793.54915762020596</v>
      </c>
      <c r="T4" s="7"/>
    </row>
    <row r="5" spans="1:20" x14ac:dyDescent="0.25">
      <c r="A5">
        <v>479.50847684499502</v>
      </c>
      <c r="B5">
        <v>113.104447637877</v>
      </c>
      <c r="C5" s="7">
        <v>113.104447637877</v>
      </c>
      <c r="E5" s="7">
        <v>105.16773620283401</v>
      </c>
      <c r="H5">
        <v>76.295353634011306</v>
      </c>
      <c r="I5">
        <v>1342.0709141052</v>
      </c>
      <c r="J5">
        <v>1342.0709141052</v>
      </c>
      <c r="N5" s="7"/>
      <c r="O5" s="7">
        <v>192.62680627665699</v>
      </c>
      <c r="P5" s="7">
        <v>113.104447637877</v>
      </c>
      <c r="Q5" s="7">
        <v>113.104447637877</v>
      </c>
      <c r="S5" s="7">
        <v>105.16773620283401</v>
      </c>
      <c r="T5" s="7"/>
    </row>
    <row r="6" spans="1:20" x14ac:dyDescent="0.25">
      <c r="A6">
        <v>76.295353634011306</v>
      </c>
      <c r="B6">
        <v>222.24139820382899</v>
      </c>
      <c r="C6" s="7">
        <v>572.53685922140596</v>
      </c>
      <c r="H6">
        <v>1243.90213319793</v>
      </c>
      <c r="I6">
        <v>607.01870341061306</v>
      </c>
      <c r="J6">
        <v>607.01870341061306</v>
      </c>
      <c r="N6" s="7"/>
      <c r="O6" s="7">
        <v>418.96966335136102</v>
      </c>
      <c r="P6" s="7">
        <v>222.24139820382899</v>
      </c>
      <c r="Q6" s="7">
        <v>695.23206020434395</v>
      </c>
      <c r="T6" s="7"/>
    </row>
    <row r="7" spans="1:20" x14ac:dyDescent="0.25">
      <c r="A7">
        <v>222.24139820382899</v>
      </c>
      <c r="B7">
        <v>572.53685922140596</v>
      </c>
      <c r="C7" s="7">
        <v>1243.90213319793</v>
      </c>
      <c r="H7">
        <v>897.41061926036002</v>
      </c>
      <c r="I7">
        <v>1251.9074662011601</v>
      </c>
      <c r="J7">
        <v>1251.9074662011601</v>
      </c>
      <c r="N7" s="7"/>
      <c r="O7" s="7">
        <v>375.63948179575902</v>
      </c>
      <c r="P7" s="7">
        <v>695.23206020434395</v>
      </c>
      <c r="Q7" s="7">
        <v>276.40448244829201</v>
      </c>
      <c r="T7" s="7"/>
    </row>
    <row r="8" spans="1:20" x14ac:dyDescent="0.25">
      <c r="A8">
        <v>1243.90213319793</v>
      </c>
      <c r="B8">
        <v>1243.90213319793</v>
      </c>
      <c r="C8" s="7">
        <v>695.23206020434395</v>
      </c>
      <c r="I8">
        <v>806.61083470680205</v>
      </c>
      <c r="J8">
        <v>806.61083470680205</v>
      </c>
      <c r="N8" s="7"/>
      <c r="O8" s="7">
        <v>105.16773620283401</v>
      </c>
      <c r="P8" s="7">
        <v>456.821330026574</v>
      </c>
      <c r="Q8" s="7">
        <v>192.62680627665699</v>
      </c>
      <c r="T8" s="7"/>
    </row>
    <row r="9" spans="1:20" x14ac:dyDescent="0.25">
      <c r="A9">
        <v>192.62680627665699</v>
      </c>
      <c r="B9">
        <v>695.23206020434395</v>
      </c>
      <c r="C9" s="7">
        <v>276.40448244829201</v>
      </c>
      <c r="I9">
        <v>897.41061926036002</v>
      </c>
      <c r="J9">
        <v>897.41061926036002</v>
      </c>
      <c r="N9" s="7"/>
      <c r="O9" s="7">
        <v>357.01736613988601</v>
      </c>
      <c r="P9" s="7">
        <v>192.62680627665699</v>
      </c>
      <c r="Q9" s="7">
        <v>793.54915762020596</v>
      </c>
      <c r="T9" s="7"/>
    </row>
    <row r="10" spans="1:20" x14ac:dyDescent="0.25">
      <c r="A10">
        <v>418.96966335136102</v>
      </c>
      <c r="B10">
        <v>456.821330026574</v>
      </c>
      <c r="C10" s="7">
        <v>1342.0709141052</v>
      </c>
      <c r="I10">
        <v>532.61661844132004</v>
      </c>
      <c r="J10">
        <v>532.61661844132004</v>
      </c>
      <c r="N10" s="7"/>
      <c r="O10" s="7">
        <v>1617.5829329759899</v>
      </c>
      <c r="P10" s="7">
        <v>793.54915762020596</v>
      </c>
      <c r="Q10" s="7">
        <v>758.25471683888895</v>
      </c>
      <c r="T10" s="7"/>
    </row>
    <row r="11" spans="1:20" x14ac:dyDescent="0.25">
      <c r="A11">
        <v>375.63948179575902</v>
      </c>
      <c r="B11">
        <v>1342.0709141052</v>
      </c>
      <c r="C11" s="7">
        <v>192.62680627665699</v>
      </c>
      <c r="I11">
        <v>410.13319371540001</v>
      </c>
      <c r="J11">
        <v>624.51937926060202</v>
      </c>
      <c r="N11" s="7"/>
      <c r="O11" s="7">
        <v>367.586470200907</v>
      </c>
      <c r="P11" s="7">
        <v>758.25471683888895</v>
      </c>
      <c r="Q11" s="7">
        <v>443.41598151788003</v>
      </c>
      <c r="T11" s="7"/>
    </row>
    <row r="12" spans="1:20" x14ac:dyDescent="0.25">
      <c r="A12">
        <v>105.16773620283401</v>
      </c>
      <c r="B12">
        <v>192.62680627665699</v>
      </c>
      <c r="C12" s="7">
        <v>793.54915762020596</v>
      </c>
      <c r="I12">
        <v>624.51937926060202</v>
      </c>
      <c r="N12" s="7"/>
      <c r="O12" s="7">
        <v>531.94036656371497</v>
      </c>
      <c r="P12" s="7">
        <v>443.41598151788003</v>
      </c>
      <c r="Q12" s="7">
        <v>1039.9770745907001</v>
      </c>
      <c r="T12" s="7"/>
    </row>
    <row r="13" spans="1:20" x14ac:dyDescent="0.25">
      <c r="A13">
        <v>357.01736613988601</v>
      </c>
      <c r="B13">
        <v>793.54915762020596</v>
      </c>
      <c r="C13" s="7">
        <v>758.25471683888895</v>
      </c>
      <c r="N13" s="7"/>
      <c r="P13" s="7">
        <v>1039.9770745907001</v>
      </c>
      <c r="Q13" s="7">
        <v>105.16773620283401</v>
      </c>
      <c r="T13" s="7"/>
    </row>
    <row r="14" spans="1:20" x14ac:dyDescent="0.25">
      <c r="A14">
        <v>1617.5829329759899</v>
      </c>
      <c r="B14">
        <v>758.25471683888895</v>
      </c>
      <c r="C14" s="7">
        <v>607.01870341061306</v>
      </c>
      <c r="N14" s="7"/>
      <c r="P14" s="7">
        <v>357.01736613988601</v>
      </c>
      <c r="Q14" s="7">
        <v>357.01736613988601</v>
      </c>
      <c r="T14" s="7"/>
    </row>
    <row r="15" spans="1:20" x14ac:dyDescent="0.25">
      <c r="A15">
        <v>897.41061926036002</v>
      </c>
      <c r="B15">
        <v>607.01870341061306</v>
      </c>
      <c r="C15" s="7">
        <v>1251.9074662011601</v>
      </c>
      <c r="N15" s="7"/>
      <c r="P15" s="7">
        <v>1209.6795472300701</v>
      </c>
      <c r="Q15" s="7">
        <v>1209.6795472300701</v>
      </c>
      <c r="T15" s="7"/>
    </row>
    <row r="16" spans="1:20" x14ac:dyDescent="0.25">
      <c r="A16">
        <v>367.586470200907</v>
      </c>
      <c r="B16">
        <v>1251.9074662011601</v>
      </c>
      <c r="C16" s="7">
        <v>443.41598151788003</v>
      </c>
      <c r="N16" s="7"/>
      <c r="T16" s="7"/>
    </row>
    <row r="17" spans="1:20" x14ac:dyDescent="0.25">
      <c r="A17">
        <v>531.94036656371497</v>
      </c>
      <c r="B17">
        <v>443.41598151788003</v>
      </c>
      <c r="C17" s="7">
        <v>1039.9770745907001</v>
      </c>
      <c r="N17" s="7"/>
      <c r="T17" s="7"/>
    </row>
    <row r="18" spans="1:20" x14ac:dyDescent="0.25">
      <c r="B18">
        <v>1039.9770745907001</v>
      </c>
      <c r="C18" s="7">
        <v>105.16773620283401</v>
      </c>
      <c r="G18" s="7"/>
      <c r="N18" s="7"/>
      <c r="T18" s="7"/>
    </row>
    <row r="19" spans="1:20" x14ac:dyDescent="0.25">
      <c r="B19">
        <v>357.01736613988601</v>
      </c>
      <c r="C19" s="7">
        <v>357.01736613988601</v>
      </c>
      <c r="G19" s="7"/>
      <c r="N19" s="7"/>
      <c r="T19" s="7"/>
    </row>
    <row r="20" spans="1:20" x14ac:dyDescent="0.25">
      <c r="B20">
        <v>806.61083470680205</v>
      </c>
      <c r="C20" s="7">
        <v>806.61083470680205</v>
      </c>
      <c r="G20" s="7"/>
      <c r="N20" s="7"/>
      <c r="T20" s="7"/>
    </row>
    <row r="21" spans="1:20" x14ac:dyDescent="0.25">
      <c r="B21">
        <v>897.41061926036002</v>
      </c>
      <c r="C21" s="7">
        <v>897.41061926036002</v>
      </c>
      <c r="G21" s="7"/>
      <c r="N21" s="7"/>
      <c r="T21" s="7"/>
    </row>
    <row r="22" spans="1:20" x14ac:dyDescent="0.25">
      <c r="B22">
        <v>532.61661844132004</v>
      </c>
      <c r="C22" s="7">
        <v>532.61661844132004</v>
      </c>
      <c r="G22" s="7"/>
      <c r="N22" s="7"/>
      <c r="T22" s="7"/>
    </row>
    <row r="23" spans="1:20" x14ac:dyDescent="0.25">
      <c r="B23">
        <v>410.13319371540001</v>
      </c>
      <c r="C23" s="7">
        <v>624.51937926060202</v>
      </c>
      <c r="G23" s="7"/>
      <c r="N23" s="7"/>
      <c r="T23" s="7"/>
    </row>
    <row r="24" spans="1:20" x14ac:dyDescent="0.25">
      <c r="B24">
        <v>624.51937926060202</v>
      </c>
      <c r="C24" s="7">
        <v>1209.6795472300701</v>
      </c>
      <c r="G24" s="7"/>
      <c r="N24" s="7"/>
      <c r="T24" s="7"/>
    </row>
    <row r="25" spans="1:20" x14ac:dyDescent="0.25">
      <c r="B25">
        <v>1209.6795472300701</v>
      </c>
      <c r="G25" s="7"/>
      <c r="N25" s="7"/>
      <c r="T25" s="7"/>
    </row>
    <row r="26" spans="1:20" x14ac:dyDescent="0.25">
      <c r="A26">
        <f>SUM(A3:A25)</f>
        <v>8121.0422200574494</v>
      </c>
      <c r="B26">
        <f t="shared" ref="B26:E26" si="0">SUM(B3:B25)</f>
        <v>15065.528362643199</v>
      </c>
      <c r="C26">
        <f t="shared" si="0"/>
        <v>14357.904659348518</v>
      </c>
      <c r="D26">
        <f t="shared" si="0"/>
        <v>986.17596389686298</v>
      </c>
      <c r="E26">
        <f t="shared" si="0"/>
        <v>1091.3437000996969</v>
      </c>
      <c r="H26">
        <f t="shared" ref="H26" si="1">SUM(H3:H25)</f>
        <v>3324.9590005628652</v>
      </c>
      <c r="I26">
        <f t="shared" ref="I26" si="2">SUM(I3:I25)</f>
        <v>8288.7267215207921</v>
      </c>
      <c r="J26">
        <f t="shared" ref="J26" si="3">SUM(J3:J25)</f>
        <v>7878.593527805393</v>
      </c>
      <c r="K26">
        <f t="shared" ref="K26" si="4">SUM(K3:K25)</f>
        <v>0</v>
      </c>
      <c r="L26">
        <f t="shared" ref="L26" si="5">SUM(L3:L25)</f>
        <v>0</v>
      </c>
      <c r="O26">
        <f t="shared" ref="O26" si="6">SUM(O3:O25)</f>
        <v>4796.0832194945842</v>
      </c>
      <c r="P26">
        <f t="shared" ref="P26" si="7">SUM(P3:P25)</f>
        <v>6776.8016411224044</v>
      </c>
      <c r="Q26">
        <f t="shared" ref="Q26" si="8">SUM(Q3:Q25)</f>
        <v>6479.311131543127</v>
      </c>
      <c r="R26">
        <f t="shared" ref="R26" si="9">SUM(R3:R25)</f>
        <v>986.17596389686298</v>
      </c>
      <c r="S26">
        <f t="shared" ref="S26" si="10">SUM(S3:S25)</f>
        <v>1091.3437000996969</v>
      </c>
      <c r="T26" s="7"/>
    </row>
    <row r="27" spans="1:20" x14ac:dyDescent="0.25">
      <c r="A27" s="12">
        <f>1-(A26/$C$28)</f>
        <v>0.98786129709492809</v>
      </c>
      <c r="B27" s="12">
        <f>1-(B26/$C$28)</f>
        <v>0.97748121879598271</v>
      </c>
      <c r="C27" s="12">
        <f>1-(C26/$C$28)</f>
        <v>0.97853891972526319</v>
      </c>
      <c r="D27" s="12">
        <f>1-(D26/$C$28)</f>
        <v>0.99852594079509882</v>
      </c>
      <c r="E27" s="12">
        <f>1-(E26/$C$28)</f>
        <v>0.99836874423456223</v>
      </c>
      <c r="F27">
        <v>0.96928379044484525</v>
      </c>
      <c r="G27" s="7"/>
      <c r="H27" s="12">
        <f>1-(H26/$J$28)</f>
        <v>0.99152891162922119</v>
      </c>
      <c r="I27" s="12">
        <f>1-(I26/$J$28)</f>
        <v>0.97888258576200426</v>
      </c>
      <c r="J27" s="12">
        <f>1-(J26/$J$28)</f>
        <v>0.97992749324121375</v>
      </c>
      <c r="K27" s="12">
        <f>1-(K26/$J$28)</f>
        <v>1</v>
      </c>
      <c r="L27" s="12">
        <f>1-(L26/$J$28)</f>
        <v>1</v>
      </c>
      <c r="M27">
        <v>0.97586697806105627</v>
      </c>
      <c r="N27" s="7"/>
      <c r="O27" s="12">
        <f>1-(O26/$Q$28)</f>
        <v>0.98265518133048624</v>
      </c>
      <c r="P27" s="12">
        <f>1-(P26/$Q$28)</f>
        <v>0.97549200248512002</v>
      </c>
      <c r="Q27" s="12">
        <f>1-(Q26/$Q$28)</f>
        <v>0.9765678634967847</v>
      </c>
      <c r="R27" s="12">
        <f>1-(R26/$Q$28)</f>
        <v>0.9964335391011363</v>
      </c>
      <c r="S27" s="12">
        <f>1-(S26/$Q$28)</f>
        <v>0.99605320472601389</v>
      </c>
      <c r="T27">
        <v>0.95993906882577162</v>
      </c>
    </row>
    <row r="28" spans="1:20" x14ac:dyDescent="0.25">
      <c r="A28" t="s">
        <v>9</v>
      </c>
      <c r="C28">
        <f>SUM('Data Kumpulan'!C:C)</f>
        <v>669020.5933505639</v>
      </c>
      <c r="G28" s="7"/>
      <c r="H28" t="s">
        <v>9</v>
      </c>
      <c r="J28">
        <v>392506.70693418593</v>
      </c>
      <c r="N28" s="7"/>
      <c r="O28" t="s">
        <v>9</v>
      </c>
      <c r="Q28">
        <v>276513.88641637791</v>
      </c>
      <c r="T28" s="7"/>
    </row>
    <row r="29" spans="1:20" x14ac:dyDescent="0.25">
      <c r="A29">
        <v>0.98786129709492798</v>
      </c>
      <c r="B29">
        <v>0.97748121879598304</v>
      </c>
      <c r="C29">
        <v>0.97853891972526297</v>
      </c>
      <c r="D29">
        <v>0.99852594079509904</v>
      </c>
      <c r="E29">
        <v>0.99836874423456201</v>
      </c>
      <c r="F29">
        <f>1-F27</f>
        <v>3.071620955515475E-2</v>
      </c>
      <c r="G29" s="7"/>
      <c r="N29" s="7"/>
      <c r="T29" s="7"/>
    </row>
    <row r="30" spans="1:20" x14ac:dyDescent="0.25">
      <c r="A30">
        <v>1.2138702905071901E-2</v>
      </c>
      <c r="B30">
        <v>2.2518781204017301E-2</v>
      </c>
      <c r="C30">
        <v>2.14610802747368E-2</v>
      </c>
      <c r="D30">
        <v>1.47405920490118E-3</v>
      </c>
      <c r="E30">
        <v>1.6312557654377701E-3</v>
      </c>
      <c r="G30" s="7"/>
      <c r="N30" s="7"/>
      <c r="T30" s="7"/>
    </row>
    <row r="31" spans="1:20" x14ac:dyDescent="0.25">
      <c r="G31" s="7"/>
      <c r="N31" s="7"/>
      <c r="T31" s="7"/>
    </row>
    <row r="32" spans="1:20" x14ac:dyDescent="0.25">
      <c r="A32" s="25" t="s">
        <v>13</v>
      </c>
      <c r="B32" s="25"/>
      <c r="C32" s="25"/>
      <c r="D32" s="25"/>
      <c r="E32" s="25"/>
      <c r="F32" s="25"/>
      <c r="G32" s="7"/>
      <c r="N32" s="7"/>
      <c r="O32" t="s">
        <v>4</v>
      </c>
      <c r="P32" t="s">
        <v>23</v>
      </c>
      <c r="T32" s="7"/>
    </row>
    <row r="33" spans="1:20" x14ac:dyDescent="0.25">
      <c r="A33" s="14"/>
      <c r="B33" s="14" t="s">
        <v>4</v>
      </c>
      <c r="C33" s="14" t="s">
        <v>14</v>
      </c>
      <c r="D33" s="14" t="s">
        <v>15</v>
      </c>
      <c r="E33" s="14" t="s">
        <v>16</v>
      </c>
      <c r="F33" s="14" t="s">
        <v>17</v>
      </c>
      <c r="G33" s="7"/>
      <c r="N33" s="7"/>
      <c r="O33">
        <f>A26</f>
        <v>8121.0422200574494</v>
      </c>
      <c r="P33">
        <f>C28-A26</f>
        <v>660899.55113050644</v>
      </c>
      <c r="T33" s="7"/>
    </row>
    <row r="34" spans="1:20" x14ac:dyDescent="0.25">
      <c r="A34" s="14" t="s">
        <v>18</v>
      </c>
      <c r="B34" s="14">
        <f>H26/A26</f>
        <v>0.40942515879930297</v>
      </c>
      <c r="C34" s="14">
        <f t="shared" ref="C34:F34" si="11">I26/B26</f>
        <v>0.55017829590853862</v>
      </c>
      <c r="D34" s="14">
        <f t="shared" si="11"/>
        <v>0.54872864214734796</v>
      </c>
      <c r="E34" s="14">
        <f t="shared" si="11"/>
        <v>0</v>
      </c>
      <c r="F34" s="14">
        <f t="shared" si="11"/>
        <v>0</v>
      </c>
      <c r="G34" s="7"/>
      <c r="N34" s="7" t="s">
        <v>18</v>
      </c>
      <c r="O34">
        <f>B34</f>
        <v>0.40942515879930297</v>
      </c>
      <c r="T34" s="7"/>
    </row>
    <row r="35" spans="1:20" x14ac:dyDescent="0.25">
      <c r="A35" s="14" t="s">
        <v>19</v>
      </c>
      <c r="B35" s="14">
        <f>O26/A26</f>
        <v>0.59057484120069703</v>
      </c>
      <c r="C35" s="14">
        <f t="shared" ref="C35:F35" si="12">P26/B26</f>
        <v>0.44982170409146116</v>
      </c>
      <c r="D35" s="14">
        <f t="shared" si="12"/>
        <v>0.45127135785265216</v>
      </c>
      <c r="E35" s="14">
        <f t="shared" si="12"/>
        <v>1</v>
      </c>
      <c r="F35" s="14">
        <f t="shared" si="12"/>
        <v>1</v>
      </c>
      <c r="G35" s="7"/>
      <c r="N35" s="7" t="s">
        <v>19</v>
      </c>
      <c r="O35">
        <f>B35</f>
        <v>0.59057484120069703</v>
      </c>
      <c r="T35" s="7"/>
    </row>
    <row r="36" spans="1:20" x14ac:dyDescent="0.25">
      <c r="G36" s="7"/>
      <c r="N36" s="7"/>
      <c r="T36" s="7"/>
    </row>
    <row r="37" spans="1:20" x14ac:dyDescent="0.25">
      <c r="G37" s="7"/>
      <c r="N37" s="7"/>
      <c r="T37" s="7"/>
    </row>
    <row r="38" spans="1:20" x14ac:dyDescent="0.25">
      <c r="F38" t="s">
        <v>67</v>
      </c>
      <c r="G38" s="7"/>
      <c r="N38" s="7"/>
      <c r="T38" s="7"/>
    </row>
    <row r="39" spans="1:20" x14ac:dyDescent="0.25">
      <c r="F39" t="s">
        <v>65</v>
      </c>
      <c r="G39" s="7"/>
      <c r="N39" s="20" t="s">
        <v>4</v>
      </c>
      <c r="O39" s="20" t="s">
        <v>20</v>
      </c>
      <c r="P39">
        <f>H26</f>
        <v>3324.9590005628652</v>
      </c>
      <c r="T39" s="7"/>
    </row>
    <row r="40" spans="1:20" x14ac:dyDescent="0.25">
      <c r="F40" t="s">
        <v>66</v>
      </c>
      <c r="G40" s="7"/>
      <c r="N40" s="21"/>
      <c r="O40" s="20" t="s">
        <v>21</v>
      </c>
      <c r="P40">
        <f>O26</f>
        <v>4796.0832194945842</v>
      </c>
      <c r="T40" s="7"/>
    </row>
    <row r="41" spans="1:20" x14ac:dyDescent="0.25">
      <c r="C41">
        <f>D27</f>
        <v>0.99852594079509882</v>
      </c>
      <c r="G41" s="7"/>
      <c r="N41" s="21" t="s">
        <v>23</v>
      </c>
      <c r="O41" s="20" t="s">
        <v>20</v>
      </c>
      <c r="P41">
        <f>J28-H26</f>
        <v>389181.74793362309</v>
      </c>
      <c r="T41" s="7"/>
    </row>
    <row r="42" spans="1:20" x14ac:dyDescent="0.25">
      <c r="C42">
        <f>1-C41</f>
        <v>1.4740592049011791E-3</v>
      </c>
      <c r="G42" s="7"/>
      <c r="N42" s="21"/>
      <c r="O42" s="20" t="s">
        <v>21</v>
      </c>
      <c r="P42">
        <f>Q28-O26</f>
        <v>271717.80319688329</v>
      </c>
      <c r="T42" s="7"/>
    </row>
    <row r="43" spans="1:20" x14ac:dyDescent="0.25">
      <c r="G43" s="7"/>
      <c r="N43" s="7"/>
      <c r="T43" s="7"/>
    </row>
    <row r="44" spans="1:20" x14ac:dyDescent="0.25">
      <c r="G44" s="7"/>
      <c r="N44" s="7"/>
      <c r="T44" s="7"/>
    </row>
    <row r="45" spans="1:20" x14ac:dyDescent="0.25">
      <c r="G45" s="7"/>
      <c r="N45" s="7"/>
      <c r="T45" s="7"/>
    </row>
    <row r="46" spans="1:20" x14ac:dyDescent="0.25">
      <c r="G46" s="7"/>
      <c r="N46" s="7"/>
      <c r="T46" s="7"/>
    </row>
    <row r="47" spans="1:20" x14ac:dyDescent="0.25">
      <c r="G47" s="7"/>
      <c r="N47" s="7"/>
      <c r="T47" s="7"/>
    </row>
    <row r="48" spans="1:20" x14ac:dyDescent="0.25">
      <c r="G48" s="7"/>
      <c r="N48" s="7"/>
      <c r="T48" s="7"/>
    </row>
    <row r="49" spans="7:20" x14ac:dyDescent="0.25">
      <c r="G49" s="7"/>
      <c r="N49" s="7"/>
      <c r="T49" s="7"/>
    </row>
    <row r="50" spans="7:20" x14ac:dyDescent="0.25">
      <c r="G50" s="7"/>
      <c r="N50" s="7"/>
      <c r="T50" s="7"/>
    </row>
    <row r="51" spans="7:20" x14ac:dyDescent="0.25">
      <c r="G51" s="7"/>
      <c r="N51" s="7"/>
      <c r="T51" s="7"/>
    </row>
    <row r="52" spans="7:20" x14ac:dyDescent="0.25">
      <c r="G52" s="7"/>
      <c r="N52" s="7"/>
      <c r="T52" s="7"/>
    </row>
    <row r="53" spans="7:20" x14ac:dyDescent="0.25">
      <c r="G53" s="7"/>
      <c r="N53" s="7"/>
      <c r="T53" s="7"/>
    </row>
    <row r="54" spans="7:20" x14ac:dyDescent="0.25">
      <c r="G54" s="7"/>
      <c r="N54" s="7"/>
      <c r="T54" s="7"/>
    </row>
    <row r="55" spans="7:20" x14ac:dyDescent="0.25">
      <c r="G55" s="7"/>
      <c r="N55" s="7"/>
      <c r="T55" s="7"/>
    </row>
    <row r="56" spans="7:20" x14ac:dyDescent="0.25">
      <c r="G56" s="7"/>
      <c r="N56" s="7"/>
      <c r="T56" s="7"/>
    </row>
    <row r="57" spans="7:20" x14ac:dyDescent="0.25">
      <c r="G57" s="7"/>
      <c r="N57" s="7"/>
      <c r="T57" s="7"/>
    </row>
    <row r="58" spans="7:20" x14ac:dyDescent="0.25">
      <c r="G58" s="7"/>
      <c r="N58" s="7"/>
      <c r="T58" s="7"/>
    </row>
    <row r="59" spans="7:20" x14ac:dyDescent="0.25">
      <c r="G59" s="7"/>
      <c r="N59" s="7"/>
      <c r="T59" s="7"/>
    </row>
    <row r="60" spans="7:20" x14ac:dyDescent="0.25">
      <c r="G60" s="7"/>
      <c r="N60" s="7"/>
      <c r="T60" s="7"/>
    </row>
    <row r="61" spans="7:20" x14ac:dyDescent="0.25">
      <c r="G61" s="7"/>
      <c r="N61" s="7"/>
      <c r="T61" s="7"/>
    </row>
    <row r="62" spans="7:20" x14ac:dyDescent="0.25">
      <c r="G62" s="7"/>
      <c r="N62" s="7"/>
      <c r="T62" s="7"/>
    </row>
    <row r="63" spans="7:20" x14ac:dyDescent="0.25">
      <c r="G63" s="7"/>
      <c r="N63" s="7"/>
      <c r="T63" s="7"/>
    </row>
    <row r="64" spans="7:20" x14ac:dyDescent="0.25">
      <c r="G64" s="7"/>
      <c r="N64" s="7"/>
      <c r="T64" s="7"/>
    </row>
    <row r="65" spans="7:20" x14ac:dyDescent="0.25">
      <c r="G65" s="7"/>
      <c r="N65" s="7"/>
      <c r="T65" s="7"/>
    </row>
    <row r="66" spans="7:20" x14ac:dyDescent="0.25">
      <c r="G66" s="7"/>
      <c r="N66" s="7"/>
      <c r="T66" s="7"/>
    </row>
    <row r="67" spans="7:20" x14ac:dyDescent="0.25">
      <c r="G67" s="7"/>
      <c r="N67" s="7"/>
      <c r="T67" s="7"/>
    </row>
    <row r="68" spans="7:20" x14ac:dyDescent="0.25">
      <c r="G68" s="7"/>
      <c r="N68" s="7"/>
      <c r="T68" s="7"/>
    </row>
    <row r="69" spans="7:20" x14ac:dyDescent="0.25">
      <c r="G69" s="7"/>
      <c r="N69" s="7"/>
      <c r="T69" s="7"/>
    </row>
    <row r="70" spans="7:20" x14ac:dyDescent="0.25">
      <c r="G70" s="7"/>
      <c r="N70" s="7"/>
      <c r="T70" s="7"/>
    </row>
    <row r="71" spans="7:20" x14ac:dyDescent="0.25">
      <c r="G71" s="7"/>
      <c r="N71" s="7"/>
      <c r="T71" s="7"/>
    </row>
    <row r="72" spans="7:20" x14ac:dyDescent="0.25">
      <c r="G72" s="7"/>
      <c r="N72" s="7"/>
      <c r="T72" s="7"/>
    </row>
    <row r="73" spans="7:20" x14ac:dyDescent="0.25">
      <c r="G73" s="7"/>
      <c r="N73" s="7"/>
      <c r="T73" s="7"/>
    </row>
    <row r="74" spans="7:20" x14ac:dyDescent="0.25">
      <c r="G74" s="7"/>
      <c r="N74" s="7"/>
      <c r="T74" s="7"/>
    </row>
    <row r="75" spans="7:20" x14ac:dyDescent="0.25">
      <c r="G75" s="7"/>
      <c r="N75" s="7"/>
      <c r="T75" s="7"/>
    </row>
    <row r="76" spans="7:20" x14ac:dyDescent="0.25">
      <c r="G76" s="7"/>
      <c r="N76" s="7"/>
      <c r="T76" s="7"/>
    </row>
    <row r="77" spans="7:20" x14ac:dyDescent="0.25">
      <c r="G77" s="7"/>
      <c r="N77" s="7"/>
      <c r="T77" s="7"/>
    </row>
    <row r="78" spans="7:20" x14ac:dyDescent="0.25">
      <c r="G78" s="7"/>
      <c r="N78" s="7"/>
      <c r="T78" s="7"/>
    </row>
    <row r="79" spans="7:20" x14ac:dyDescent="0.25">
      <c r="G79" s="7"/>
      <c r="N79" s="7"/>
      <c r="T79" s="7"/>
    </row>
    <row r="80" spans="7:20" x14ac:dyDescent="0.25">
      <c r="G80" s="7"/>
      <c r="N80" s="7"/>
      <c r="T80" s="7"/>
    </row>
    <row r="81" spans="7:20" x14ac:dyDescent="0.25">
      <c r="G81" s="7"/>
      <c r="N81" s="7"/>
      <c r="T81" s="7"/>
    </row>
    <row r="82" spans="7:20" x14ac:dyDescent="0.25">
      <c r="G82" s="7"/>
      <c r="N82" s="7"/>
      <c r="T82" s="7"/>
    </row>
    <row r="83" spans="7:20" x14ac:dyDescent="0.25">
      <c r="G83" s="7"/>
      <c r="N83" s="7"/>
      <c r="T83" s="7"/>
    </row>
    <row r="84" spans="7:20" x14ac:dyDescent="0.25">
      <c r="G84" s="7"/>
      <c r="N84" s="7"/>
      <c r="T84" s="7"/>
    </row>
    <row r="85" spans="7:20" x14ac:dyDescent="0.25">
      <c r="G85" s="7"/>
      <c r="N85" s="7"/>
      <c r="T85" s="7"/>
    </row>
    <row r="86" spans="7:20" x14ac:dyDescent="0.25">
      <c r="G86" s="7"/>
      <c r="N86" s="7"/>
      <c r="T86" s="7"/>
    </row>
    <row r="87" spans="7:20" x14ac:dyDescent="0.25">
      <c r="G87" s="7"/>
      <c r="N87" s="7"/>
      <c r="T87" s="7"/>
    </row>
    <row r="88" spans="7:20" x14ac:dyDescent="0.25">
      <c r="G88" s="7"/>
      <c r="N88" s="7"/>
      <c r="T88" s="7"/>
    </row>
    <row r="89" spans="7:20" x14ac:dyDescent="0.25">
      <c r="G89" s="7"/>
      <c r="N89" s="7"/>
      <c r="T89" s="7"/>
    </row>
    <row r="90" spans="7:20" x14ac:dyDescent="0.25">
      <c r="G90" s="7"/>
      <c r="N90" s="7"/>
      <c r="T90" s="7"/>
    </row>
    <row r="91" spans="7:20" x14ac:dyDescent="0.25">
      <c r="G91" s="7"/>
      <c r="N91" s="7"/>
      <c r="T91" s="7"/>
    </row>
    <row r="92" spans="7:20" x14ac:dyDescent="0.25">
      <c r="G92" s="7"/>
      <c r="N92" s="7"/>
      <c r="T92" s="7"/>
    </row>
    <row r="93" spans="7:20" x14ac:dyDescent="0.25">
      <c r="G93" s="7"/>
      <c r="N93" s="7"/>
      <c r="T93" s="7"/>
    </row>
    <row r="94" spans="7:20" x14ac:dyDescent="0.25">
      <c r="G94" s="7"/>
      <c r="N94" s="7"/>
      <c r="T94" s="7"/>
    </row>
    <row r="95" spans="7:20" x14ac:dyDescent="0.25">
      <c r="G95" s="7"/>
      <c r="N95" s="7"/>
      <c r="T95" s="7"/>
    </row>
    <row r="96" spans="7:20" x14ac:dyDescent="0.25">
      <c r="G96" s="7"/>
      <c r="N96" s="7"/>
      <c r="T96" s="7"/>
    </row>
    <row r="97" spans="7:20" x14ac:dyDescent="0.25">
      <c r="G97" s="7"/>
      <c r="N97" s="7"/>
      <c r="T97" s="7"/>
    </row>
    <row r="98" spans="7:20" x14ac:dyDescent="0.25">
      <c r="G98" s="7"/>
      <c r="N98" s="7"/>
      <c r="T98" s="7"/>
    </row>
    <row r="99" spans="7:20" x14ac:dyDescent="0.25">
      <c r="G99" s="7"/>
      <c r="N99" s="7"/>
      <c r="T99" s="7"/>
    </row>
    <row r="100" spans="7:20" x14ac:dyDescent="0.25">
      <c r="G100" s="7"/>
      <c r="N100" s="7"/>
      <c r="T100" s="7"/>
    </row>
    <row r="101" spans="7:20" x14ac:dyDescent="0.25">
      <c r="G101" s="7"/>
      <c r="N101" s="7"/>
      <c r="T101" s="7"/>
    </row>
    <row r="102" spans="7:20" x14ac:dyDescent="0.25">
      <c r="G102" s="7"/>
      <c r="N102" s="7"/>
      <c r="T102" s="7"/>
    </row>
    <row r="103" spans="7:20" x14ac:dyDescent="0.25">
      <c r="G103" s="7"/>
      <c r="N103" s="7"/>
      <c r="T103" s="7"/>
    </row>
    <row r="104" spans="7:20" x14ac:dyDescent="0.25">
      <c r="G104" s="7"/>
      <c r="N104" s="7"/>
      <c r="T104" s="7"/>
    </row>
    <row r="105" spans="7:20" x14ac:dyDescent="0.25">
      <c r="G105" s="7"/>
      <c r="N105" s="7"/>
      <c r="T105" s="7"/>
    </row>
    <row r="106" spans="7:20" x14ac:dyDescent="0.25">
      <c r="G106" s="7"/>
      <c r="N106" s="7"/>
      <c r="T106" s="7"/>
    </row>
    <row r="107" spans="7:20" x14ac:dyDescent="0.25">
      <c r="G107" s="7"/>
      <c r="N107" s="7"/>
      <c r="T107" s="7"/>
    </row>
    <row r="108" spans="7:20" x14ac:dyDescent="0.25">
      <c r="G108" s="7"/>
      <c r="N108" s="7"/>
      <c r="T108" s="7"/>
    </row>
    <row r="109" spans="7:20" x14ac:dyDescent="0.25">
      <c r="G109" s="7"/>
      <c r="N109" s="7"/>
      <c r="T109" s="7"/>
    </row>
    <row r="110" spans="7:20" x14ac:dyDescent="0.25">
      <c r="G110" s="7"/>
      <c r="N110" s="7"/>
      <c r="T110" s="7"/>
    </row>
    <row r="111" spans="7:20" x14ac:dyDescent="0.25">
      <c r="G111" s="7"/>
      <c r="N111" s="7"/>
      <c r="T111" s="7"/>
    </row>
    <row r="112" spans="7:20" x14ac:dyDescent="0.25">
      <c r="G112" s="7"/>
      <c r="N112" s="7"/>
      <c r="T112" s="7"/>
    </row>
    <row r="113" spans="7:20" x14ac:dyDescent="0.25">
      <c r="G113" s="7"/>
      <c r="N113" s="7"/>
      <c r="T113" s="7"/>
    </row>
    <row r="114" spans="7:20" x14ac:dyDescent="0.25">
      <c r="G114" s="7"/>
      <c r="N114" s="7"/>
      <c r="T114" s="7"/>
    </row>
    <row r="115" spans="7:20" x14ac:dyDescent="0.25">
      <c r="G115" s="7"/>
      <c r="N115" s="7"/>
      <c r="T115" s="7"/>
    </row>
    <row r="116" spans="7:20" x14ac:dyDescent="0.25">
      <c r="G116" s="7"/>
      <c r="N116" s="7"/>
      <c r="T116" s="7"/>
    </row>
    <row r="117" spans="7:20" x14ac:dyDescent="0.25">
      <c r="G117" s="7"/>
      <c r="N117" s="7"/>
      <c r="T117" s="7"/>
    </row>
    <row r="118" spans="7:20" x14ac:dyDescent="0.25">
      <c r="G118" s="7"/>
      <c r="N118" s="7"/>
      <c r="T118" s="7"/>
    </row>
    <row r="119" spans="7:20" x14ac:dyDescent="0.25">
      <c r="G119" s="7"/>
      <c r="N119" s="7"/>
      <c r="T119" s="7"/>
    </row>
    <row r="120" spans="7:20" x14ac:dyDescent="0.25">
      <c r="G120" s="7"/>
      <c r="N120" s="7"/>
      <c r="T120" s="7"/>
    </row>
    <row r="121" spans="7:20" x14ac:dyDescent="0.25">
      <c r="G121" s="7"/>
      <c r="N121" s="7"/>
      <c r="T121" s="7"/>
    </row>
    <row r="122" spans="7:20" x14ac:dyDescent="0.25">
      <c r="G122" s="7"/>
      <c r="N122" s="7"/>
      <c r="T122" s="7"/>
    </row>
    <row r="123" spans="7:20" x14ac:dyDescent="0.25">
      <c r="G123" s="7"/>
      <c r="N123" s="7"/>
      <c r="T123" s="7"/>
    </row>
    <row r="124" spans="7:20" x14ac:dyDescent="0.25">
      <c r="G124" s="7"/>
      <c r="N124" s="7"/>
      <c r="T124" s="7"/>
    </row>
    <row r="125" spans="7:20" x14ac:dyDescent="0.25">
      <c r="G125" s="7"/>
      <c r="N125" s="7"/>
      <c r="T125" s="7"/>
    </row>
    <row r="126" spans="7:20" x14ac:dyDescent="0.25">
      <c r="G126" s="7"/>
      <c r="N126" s="7"/>
      <c r="T126" s="7"/>
    </row>
    <row r="127" spans="7:20" x14ac:dyDescent="0.25">
      <c r="G127" s="7"/>
      <c r="N127" s="7"/>
      <c r="T127" s="7"/>
    </row>
    <row r="128" spans="7:20" x14ac:dyDescent="0.25">
      <c r="G128" s="7"/>
      <c r="N128" s="7"/>
      <c r="T128" s="7"/>
    </row>
    <row r="129" spans="7:20" x14ac:dyDescent="0.25">
      <c r="G129" s="7"/>
      <c r="N129" s="7"/>
      <c r="T129" s="7"/>
    </row>
    <row r="130" spans="7:20" x14ac:dyDescent="0.25">
      <c r="G130" s="7"/>
      <c r="N130" s="7"/>
      <c r="T130" s="7"/>
    </row>
    <row r="131" spans="7:20" x14ac:dyDescent="0.25">
      <c r="G131" s="7"/>
      <c r="N131" s="7"/>
      <c r="T131" s="7"/>
    </row>
    <row r="132" spans="7:20" x14ac:dyDescent="0.25">
      <c r="G132" s="7"/>
      <c r="N132" s="7"/>
      <c r="T132" s="7"/>
    </row>
    <row r="133" spans="7:20" x14ac:dyDescent="0.25">
      <c r="G133" s="7"/>
      <c r="N133" s="7"/>
      <c r="T133" s="7"/>
    </row>
    <row r="134" spans="7:20" x14ac:dyDescent="0.25">
      <c r="G134" s="7"/>
      <c r="N134" s="7"/>
      <c r="T134" s="7"/>
    </row>
    <row r="135" spans="7:20" x14ac:dyDescent="0.25">
      <c r="G135" s="7"/>
      <c r="N135" s="7"/>
      <c r="T135" s="7"/>
    </row>
    <row r="136" spans="7:20" x14ac:dyDescent="0.25">
      <c r="G136" s="7"/>
      <c r="N136" s="7"/>
      <c r="T136" s="7"/>
    </row>
    <row r="137" spans="7:20" x14ac:dyDescent="0.25">
      <c r="G137" s="7"/>
      <c r="N137" s="7"/>
      <c r="T137" s="7"/>
    </row>
    <row r="138" spans="7:20" x14ac:dyDescent="0.25">
      <c r="G138" s="7"/>
      <c r="N138" s="7"/>
      <c r="T138" s="7"/>
    </row>
    <row r="139" spans="7:20" x14ac:dyDescent="0.25">
      <c r="G139" s="7"/>
      <c r="N139" s="7"/>
      <c r="T139" s="7"/>
    </row>
    <row r="140" spans="7:20" x14ac:dyDescent="0.25">
      <c r="G140" s="7"/>
      <c r="N140" s="7"/>
      <c r="T140" s="7"/>
    </row>
    <row r="141" spans="7:20" x14ac:dyDescent="0.25">
      <c r="G141" s="7"/>
      <c r="N141" s="7"/>
      <c r="T141" s="7"/>
    </row>
    <row r="142" spans="7:20" x14ac:dyDescent="0.25">
      <c r="G142" s="7"/>
      <c r="N142" s="7"/>
      <c r="T142" s="7"/>
    </row>
    <row r="143" spans="7:20" x14ac:dyDescent="0.25">
      <c r="G143" s="7"/>
      <c r="N143" s="7"/>
      <c r="T143" s="7"/>
    </row>
    <row r="144" spans="7:20" x14ac:dyDescent="0.25">
      <c r="G144" s="7"/>
      <c r="N144" s="7"/>
      <c r="T144" s="7"/>
    </row>
    <row r="145" spans="7:20" x14ac:dyDescent="0.25">
      <c r="G145" s="7"/>
      <c r="N145" s="7"/>
      <c r="T145" s="7"/>
    </row>
    <row r="146" spans="7:20" x14ac:dyDescent="0.25">
      <c r="G146" s="7"/>
      <c r="N146" s="7"/>
      <c r="T146" s="7"/>
    </row>
    <row r="147" spans="7:20" x14ac:dyDescent="0.25">
      <c r="G147" s="7"/>
      <c r="N147" s="7"/>
      <c r="T147" s="7"/>
    </row>
    <row r="148" spans="7:20" x14ac:dyDescent="0.25">
      <c r="G148" s="7"/>
      <c r="N148" s="7"/>
      <c r="T148" s="7"/>
    </row>
    <row r="149" spans="7:20" x14ac:dyDescent="0.25">
      <c r="G149" s="7"/>
      <c r="N149" s="7"/>
      <c r="T149" s="7"/>
    </row>
    <row r="150" spans="7:20" x14ac:dyDescent="0.25">
      <c r="G150" s="7"/>
      <c r="N150" s="7"/>
      <c r="T150" s="7"/>
    </row>
    <row r="151" spans="7:20" x14ac:dyDescent="0.25">
      <c r="G151" s="7"/>
      <c r="N151" s="7"/>
      <c r="T151" s="7"/>
    </row>
    <row r="152" spans="7:20" x14ac:dyDescent="0.25">
      <c r="G152" s="7"/>
      <c r="N152" s="7"/>
      <c r="T152" s="7"/>
    </row>
    <row r="153" spans="7:20" x14ac:dyDescent="0.25">
      <c r="G153" s="7"/>
      <c r="N153" s="7"/>
      <c r="T153" s="7"/>
    </row>
    <row r="154" spans="7:20" x14ac:dyDescent="0.25">
      <c r="G154" s="7"/>
      <c r="N154" s="7"/>
      <c r="T154" s="7"/>
    </row>
    <row r="155" spans="7:20" x14ac:dyDescent="0.25">
      <c r="G155" s="7"/>
      <c r="N155" s="7"/>
      <c r="T155" s="7"/>
    </row>
    <row r="156" spans="7:20" x14ac:dyDescent="0.25">
      <c r="G156" s="7"/>
      <c r="N156" s="7"/>
      <c r="T156" s="7"/>
    </row>
    <row r="157" spans="7:20" x14ac:dyDescent="0.25">
      <c r="G157" s="7"/>
      <c r="N157" s="7"/>
      <c r="T157" s="7"/>
    </row>
    <row r="158" spans="7:20" x14ac:dyDescent="0.25">
      <c r="G158" s="7"/>
      <c r="N158" s="7"/>
      <c r="T158" s="7"/>
    </row>
    <row r="159" spans="7:20" x14ac:dyDescent="0.25">
      <c r="G159" s="7"/>
      <c r="N159" s="7"/>
      <c r="T159" s="7"/>
    </row>
    <row r="160" spans="7:20" x14ac:dyDescent="0.25">
      <c r="G160" s="7"/>
      <c r="N160" s="7"/>
      <c r="T160" s="7"/>
    </row>
    <row r="161" spans="7:20" x14ac:dyDescent="0.25">
      <c r="G161" s="7"/>
      <c r="N161" s="7"/>
      <c r="T161" s="7"/>
    </row>
    <row r="162" spans="7:20" x14ac:dyDescent="0.25">
      <c r="G162" s="7"/>
      <c r="N162" s="7"/>
      <c r="T162" s="7"/>
    </row>
    <row r="163" spans="7:20" x14ac:dyDescent="0.25">
      <c r="G163" s="7"/>
      <c r="N163" s="7"/>
      <c r="T163" s="7"/>
    </row>
    <row r="164" spans="7:20" x14ac:dyDescent="0.25">
      <c r="G164" s="7"/>
      <c r="N164" s="7"/>
      <c r="T164" s="7"/>
    </row>
    <row r="165" spans="7:20" x14ac:dyDescent="0.25">
      <c r="G165" s="7"/>
      <c r="N165" s="7"/>
      <c r="T165" s="7"/>
    </row>
    <row r="166" spans="7:20" x14ac:dyDescent="0.25">
      <c r="G166" s="7"/>
      <c r="N166" s="7"/>
      <c r="T166" s="7"/>
    </row>
    <row r="167" spans="7:20" x14ac:dyDescent="0.25">
      <c r="G167" s="7"/>
      <c r="N167" s="7"/>
      <c r="T167" s="7"/>
    </row>
    <row r="168" spans="7:20" x14ac:dyDescent="0.25">
      <c r="G168" s="7"/>
      <c r="N168" s="7"/>
      <c r="T168" s="7"/>
    </row>
    <row r="169" spans="7:20" x14ac:dyDescent="0.25">
      <c r="G169" s="7"/>
      <c r="N169" s="7"/>
      <c r="T169" s="7"/>
    </row>
    <row r="170" spans="7:20" x14ac:dyDescent="0.25">
      <c r="G170" s="7"/>
      <c r="N170" s="7"/>
      <c r="T170" s="7"/>
    </row>
    <row r="171" spans="7:20" x14ac:dyDescent="0.25">
      <c r="G171" s="7"/>
      <c r="N171" s="7"/>
      <c r="T171" s="7"/>
    </row>
    <row r="172" spans="7:20" x14ac:dyDescent="0.25">
      <c r="G172" s="7"/>
      <c r="N172" s="7"/>
      <c r="T172" s="7"/>
    </row>
    <row r="173" spans="7:20" x14ac:dyDescent="0.25">
      <c r="G173" s="7"/>
      <c r="N173" s="7"/>
      <c r="T173" s="7"/>
    </row>
    <row r="174" spans="7:20" x14ac:dyDescent="0.25">
      <c r="G174" s="7"/>
      <c r="N174" s="7"/>
      <c r="T174" s="7"/>
    </row>
    <row r="175" spans="7:20" x14ac:dyDescent="0.25">
      <c r="G175" s="7"/>
      <c r="N175" s="7"/>
      <c r="T175" s="7"/>
    </row>
    <row r="176" spans="7:20" x14ac:dyDescent="0.25">
      <c r="G176" s="7"/>
      <c r="N176" s="7"/>
      <c r="T176" s="7"/>
    </row>
    <row r="177" spans="7:20" x14ac:dyDescent="0.25">
      <c r="G177" s="7"/>
      <c r="N177" s="7"/>
      <c r="T177" s="7"/>
    </row>
    <row r="178" spans="7:20" x14ac:dyDescent="0.25">
      <c r="G178" s="7"/>
      <c r="N178" s="7"/>
      <c r="T178" s="7"/>
    </row>
    <row r="179" spans="7:20" x14ac:dyDescent="0.25">
      <c r="G179" s="7"/>
      <c r="N179" s="7"/>
      <c r="T179" s="7"/>
    </row>
    <row r="180" spans="7:20" x14ac:dyDescent="0.25">
      <c r="G180" s="7"/>
      <c r="N180" s="7"/>
      <c r="T180" s="7"/>
    </row>
    <row r="181" spans="7:20" x14ac:dyDescent="0.25">
      <c r="G181" s="7"/>
      <c r="N181" s="7"/>
      <c r="T181" s="7"/>
    </row>
    <row r="182" spans="7:20" x14ac:dyDescent="0.25">
      <c r="G182" s="7"/>
      <c r="N182" s="7"/>
      <c r="T182" s="7"/>
    </row>
    <row r="183" spans="7:20" x14ac:dyDescent="0.25">
      <c r="G183" s="7"/>
      <c r="N183" s="7"/>
      <c r="T183" s="7"/>
    </row>
    <row r="184" spans="7:20" x14ac:dyDescent="0.25">
      <c r="G184" s="7"/>
      <c r="N184" s="7"/>
      <c r="T184" s="7"/>
    </row>
    <row r="185" spans="7:20" x14ac:dyDescent="0.25">
      <c r="G185" s="7"/>
      <c r="N185" s="7"/>
      <c r="T185" s="7"/>
    </row>
    <row r="186" spans="7:20" x14ac:dyDescent="0.25">
      <c r="G186" s="7"/>
      <c r="N186" s="7"/>
      <c r="T186" s="7"/>
    </row>
    <row r="187" spans="7:20" x14ac:dyDescent="0.25">
      <c r="G187" s="7"/>
      <c r="N187" s="7"/>
      <c r="T187" s="7"/>
    </row>
    <row r="188" spans="7:20" x14ac:dyDescent="0.25">
      <c r="G188" s="7"/>
      <c r="N188" s="7"/>
      <c r="T188" s="7"/>
    </row>
    <row r="189" spans="7:20" x14ac:dyDescent="0.25">
      <c r="G189" s="7"/>
      <c r="N189" s="7"/>
      <c r="T189" s="7"/>
    </row>
    <row r="190" spans="7:20" x14ac:dyDescent="0.25">
      <c r="G190" s="7"/>
      <c r="N190" s="7"/>
      <c r="T190" s="7"/>
    </row>
    <row r="191" spans="7:20" x14ac:dyDescent="0.25">
      <c r="G191" s="7"/>
      <c r="N191" s="7"/>
      <c r="T191" s="7"/>
    </row>
    <row r="192" spans="7:20" x14ac:dyDescent="0.25">
      <c r="G192" s="7"/>
      <c r="N192" s="7"/>
      <c r="T192" s="7"/>
    </row>
    <row r="193" spans="7:20" x14ac:dyDescent="0.25">
      <c r="G193" s="7"/>
      <c r="N193" s="7"/>
      <c r="T193" s="7"/>
    </row>
    <row r="194" spans="7:20" x14ac:dyDescent="0.25">
      <c r="G194" s="7"/>
      <c r="N194" s="7"/>
      <c r="T194" s="7"/>
    </row>
    <row r="195" spans="7:20" x14ac:dyDescent="0.25">
      <c r="G195" s="7"/>
      <c r="N195" s="7"/>
      <c r="T195" s="7"/>
    </row>
    <row r="196" spans="7:20" x14ac:dyDescent="0.25">
      <c r="G196" s="7"/>
      <c r="N196" s="7"/>
      <c r="T196" s="7"/>
    </row>
    <row r="197" spans="7:20" x14ac:dyDescent="0.25">
      <c r="G197" s="7"/>
      <c r="N197" s="7"/>
      <c r="T197" s="7"/>
    </row>
    <row r="198" spans="7:20" x14ac:dyDescent="0.25">
      <c r="G198" s="7"/>
      <c r="N198" s="7"/>
      <c r="T198" s="7"/>
    </row>
    <row r="199" spans="7:20" x14ac:dyDescent="0.25">
      <c r="G199" s="7"/>
      <c r="N199" s="7"/>
      <c r="T199" s="7"/>
    </row>
    <row r="200" spans="7:20" x14ac:dyDescent="0.25">
      <c r="G200" s="7"/>
      <c r="N200" s="7"/>
      <c r="T200" s="7"/>
    </row>
    <row r="201" spans="7:20" x14ac:dyDescent="0.25">
      <c r="G201" s="7"/>
      <c r="N201" s="7"/>
      <c r="T201" s="7"/>
    </row>
    <row r="202" spans="7:20" x14ac:dyDescent="0.25">
      <c r="G202" s="7"/>
      <c r="N202" s="7"/>
      <c r="T202" s="7"/>
    </row>
    <row r="203" spans="7:20" x14ac:dyDescent="0.25">
      <c r="G203" s="7"/>
      <c r="N203" s="7"/>
      <c r="T203" s="7"/>
    </row>
    <row r="204" spans="7:20" x14ac:dyDescent="0.25">
      <c r="G204" s="7"/>
      <c r="N204" s="7"/>
      <c r="T204" s="7"/>
    </row>
    <row r="205" spans="7:20" x14ac:dyDescent="0.25">
      <c r="G205" s="7"/>
      <c r="N205" s="7"/>
      <c r="T205" s="7"/>
    </row>
    <row r="206" spans="7:20" x14ac:dyDescent="0.25">
      <c r="G206" s="7"/>
      <c r="N206" s="7"/>
      <c r="T206" s="7"/>
    </row>
    <row r="207" spans="7:20" x14ac:dyDescent="0.25">
      <c r="G207" s="7"/>
      <c r="N207" s="7"/>
      <c r="T207" s="7"/>
    </row>
    <row r="208" spans="7:20" x14ac:dyDescent="0.25">
      <c r="G208" s="7"/>
      <c r="N208" s="7"/>
      <c r="T208" s="7"/>
    </row>
    <row r="209" spans="7:20" x14ac:dyDescent="0.25">
      <c r="G209" s="7"/>
      <c r="N209" s="7"/>
      <c r="T209" s="7"/>
    </row>
    <row r="210" spans="7:20" x14ac:dyDescent="0.25">
      <c r="G210" s="7"/>
      <c r="N210" s="7"/>
      <c r="T210" s="7"/>
    </row>
    <row r="211" spans="7:20" x14ac:dyDescent="0.25">
      <c r="G211" s="7"/>
      <c r="N211" s="7"/>
      <c r="T211" s="7"/>
    </row>
    <row r="212" spans="7:20" x14ac:dyDescent="0.25">
      <c r="G212" s="7"/>
      <c r="N212" s="7"/>
      <c r="T212" s="7"/>
    </row>
    <row r="213" spans="7:20" x14ac:dyDescent="0.25">
      <c r="G213" s="7"/>
      <c r="N213" s="7"/>
      <c r="T213" s="7"/>
    </row>
    <row r="214" spans="7:20" x14ac:dyDescent="0.25">
      <c r="G214" s="7"/>
      <c r="N214" s="7"/>
      <c r="T214" s="7"/>
    </row>
    <row r="215" spans="7:20" x14ac:dyDescent="0.25">
      <c r="G215" s="7"/>
      <c r="N215" s="7"/>
      <c r="T215" s="7"/>
    </row>
    <row r="216" spans="7:20" x14ac:dyDescent="0.25">
      <c r="G216" s="7"/>
      <c r="N216" s="7"/>
      <c r="T216" s="7"/>
    </row>
    <row r="217" spans="7:20" x14ac:dyDescent="0.25">
      <c r="G217" s="7"/>
      <c r="N217" s="7"/>
      <c r="T217" s="7"/>
    </row>
    <row r="218" spans="7:20" x14ac:dyDescent="0.25">
      <c r="G218" s="7"/>
      <c r="N218" s="7"/>
      <c r="T218" s="7"/>
    </row>
    <row r="219" spans="7:20" x14ac:dyDescent="0.25">
      <c r="G219" s="7"/>
      <c r="N219" s="7"/>
      <c r="T219" s="7"/>
    </row>
    <row r="220" spans="7:20" x14ac:dyDescent="0.25">
      <c r="G220" s="7"/>
      <c r="N220" s="7"/>
      <c r="T220" s="7"/>
    </row>
    <row r="221" spans="7:20" x14ac:dyDescent="0.25">
      <c r="G221" s="7"/>
      <c r="N221" s="7"/>
      <c r="T221" s="7"/>
    </row>
    <row r="222" spans="7:20" x14ac:dyDescent="0.25">
      <c r="G222" s="7"/>
      <c r="N222" s="7"/>
      <c r="T222" s="7"/>
    </row>
    <row r="223" spans="7:20" x14ac:dyDescent="0.25">
      <c r="G223" s="7"/>
      <c r="N223" s="7"/>
      <c r="T223" s="7"/>
    </row>
    <row r="224" spans="7:20" x14ac:dyDescent="0.25">
      <c r="G224" s="7"/>
      <c r="N224" s="7"/>
      <c r="T224" s="7"/>
    </row>
    <row r="225" spans="7:20" x14ac:dyDescent="0.25">
      <c r="G225" s="7"/>
      <c r="N225" s="7"/>
      <c r="T225" s="7"/>
    </row>
    <row r="226" spans="7:20" x14ac:dyDescent="0.25">
      <c r="G226" s="7"/>
      <c r="N226" s="7"/>
      <c r="T226" s="7"/>
    </row>
    <row r="227" spans="7:20" x14ac:dyDescent="0.25">
      <c r="G227" s="7"/>
      <c r="N227" s="7"/>
      <c r="T227" s="7"/>
    </row>
    <row r="228" spans="7:20" x14ac:dyDescent="0.25">
      <c r="G228" s="7"/>
      <c r="N228" s="7"/>
      <c r="T228" s="7"/>
    </row>
    <row r="229" spans="7:20" x14ac:dyDescent="0.25">
      <c r="G229" s="7"/>
      <c r="N229" s="7"/>
      <c r="T229" s="7"/>
    </row>
    <row r="230" spans="7:20" x14ac:dyDescent="0.25">
      <c r="G230" s="7"/>
      <c r="N230" s="7"/>
      <c r="T230" s="7"/>
    </row>
    <row r="231" spans="7:20" x14ac:dyDescent="0.25">
      <c r="G231" s="7"/>
      <c r="N231" s="7"/>
      <c r="T231" s="7"/>
    </row>
    <row r="232" spans="7:20" x14ac:dyDescent="0.25">
      <c r="G232" s="7"/>
      <c r="N232" s="7"/>
      <c r="T232" s="7"/>
    </row>
    <row r="233" spans="7:20" x14ac:dyDescent="0.25">
      <c r="G233" s="7"/>
      <c r="N233" s="7"/>
      <c r="T233" s="7"/>
    </row>
    <row r="234" spans="7:20" x14ac:dyDescent="0.25">
      <c r="G234" s="7"/>
      <c r="N234" s="7"/>
      <c r="T234" s="7"/>
    </row>
    <row r="235" spans="7:20" x14ac:dyDescent="0.25">
      <c r="G235" s="7"/>
      <c r="N235" s="7"/>
      <c r="T235" s="7"/>
    </row>
    <row r="236" spans="7:20" x14ac:dyDescent="0.25">
      <c r="G236" s="7"/>
      <c r="N236" s="7"/>
      <c r="T236" s="7"/>
    </row>
    <row r="237" spans="7:20" x14ac:dyDescent="0.25">
      <c r="G237" s="7"/>
      <c r="N237" s="7"/>
      <c r="T237" s="7"/>
    </row>
    <row r="238" spans="7:20" x14ac:dyDescent="0.25">
      <c r="G238" s="7"/>
      <c r="N238" s="7"/>
      <c r="T238" s="7"/>
    </row>
    <row r="239" spans="7:20" x14ac:dyDescent="0.25">
      <c r="G239" s="7"/>
      <c r="N239" s="7"/>
      <c r="T239" s="7"/>
    </row>
    <row r="240" spans="7:20" x14ac:dyDescent="0.25">
      <c r="G240" s="7"/>
      <c r="N240" s="7"/>
      <c r="T240" s="7"/>
    </row>
    <row r="241" spans="7:20" x14ac:dyDescent="0.25">
      <c r="G241" s="7"/>
      <c r="N241" s="7"/>
      <c r="T241" s="7"/>
    </row>
    <row r="242" spans="7:20" x14ac:dyDescent="0.25">
      <c r="G242" s="7"/>
      <c r="N242" s="7"/>
      <c r="T242" s="7"/>
    </row>
    <row r="243" spans="7:20" x14ac:dyDescent="0.25">
      <c r="G243" s="7"/>
      <c r="N243" s="7"/>
      <c r="T243" s="7"/>
    </row>
    <row r="244" spans="7:20" x14ac:dyDescent="0.25">
      <c r="G244" s="7"/>
      <c r="N244" s="7"/>
      <c r="T244" s="7"/>
    </row>
    <row r="245" spans="7:20" x14ac:dyDescent="0.25">
      <c r="G245" s="7"/>
      <c r="N245" s="7"/>
      <c r="T245" s="7"/>
    </row>
    <row r="246" spans="7:20" x14ac:dyDescent="0.25">
      <c r="G246" s="7"/>
      <c r="N246" s="7"/>
      <c r="T246" s="7"/>
    </row>
    <row r="247" spans="7:20" x14ac:dyDescent="0.25">
      <c r="G247" s="7"/>
      <c r="N247" s="7"/>
      <c r="T247" s="7"/>
    </row>
    <row r="248" spans="7:20" x14ac:dyDescent="0.25">
      <c r="G248" s="7"/>
      <c r="N248" s="7"/>
      <c r="T248" s="7"/>
    </row>
    <row r="249" spans="7:20" x14ac:dyDescent="0.25">
      <c r="G249" s="7"/>
      <c r="N249" s="7"/>
      <c r="T249" s="7"/>
    </row>
    <row r="250" spans="7:20" x14ac:dyDescent="0.25">
      <c r="G250" s="7"/>
      <c r="N250" s="7"/>
      <c r="T250" s="7"/>
    </row>
    <row r="251" spans="7:20" x14ac:dyDescent="0.25">
      <c r="G251" s="7"/>
      <c r="N251" s="7"/>
      <c r="T251" s="7"/>
    </row>
    <row r="252" spans="7:20" x14ac:dyDescent="0.25">
      <c r="G252" s="7"/>
      <c r="N252" s="7"/>
      <c r="T252" s="7"/>
    </row>
    <row r="253" spans="7:20" x14ac:dyDescent="0.25">
      <c r="G253" s="7"/>
      <c r="N253" s="7"/>
      <c r="T253" s="7"/>
    </row>
    <row r="254" spans="7:20" x14ac:dyDescent="0.25">
      <c r="G254" s="7"/>
      <c r="N254" s="7"/>
      <c r="T254" s="7"/>
    </row>
    <row r="255" spans="7:20" x14ac:dyDescent="0.25">
      <c r="G255" s="7"/>
      <c r="N255" s="7"/>
      <c r="T255" s="7"/>
    </row>
    <row r="256" spans="7:20" x14ac:dyDescent="0.25">
      <c r="G256" s="7"/>
      <c r="N256" s="7"/>
      <c r="T256" s="7"/>
    </row>
    <row r="257" spans="7:20" x14ac:dyDescent="0.25">
      <c r="G257" s="7"/>
      <c r="N257" s="7"/>
      <c r="T257" s="7"/>
    </row>
    <row r="258" spans="7:20" x14ac:dyDescent="0.25">
      <c r="G258" s="7"/>
      <c r="N258" s="7"/>
      <c r="T258" s="7"/>
    </row>
    <row r="259" spans="7:20" x14ac:dyDescent="0.25">
      <c r="G259" s="7"/>
      <c r="N259" s="7"/>
      <c r="T259" s="7"/>
    </row>
    <row r="260" spans="7:20" x14ac:dyDescent="0.25">
      <c r="G260" s="7"/>
      <c r="N260" s="7"/>
      <c r="T260" s="7"/>
    </row>
    <row r="261" spans="7:20" x14ac:dyDescent="0.25">
      <c r="G261" s="7"/>
      <c r="N261" s="7"/>
      <c r="T261" s="7"/>
    </row>
    <row r="262" spans="7:20" x14ac:dyDescent="0.25">
      <c r="G262" s="7"/>
      <c r="N262" s="7"/>
      <c r="T262" s="7"/>
    </row>
    <row r="263" spans="7:20" x14ac:dyDescent="0.25">
      <c r="G263" s="7"/>
      <c r="N263" s="7"/>
      <c r="T263" s="7"/>
    </row>
    <row r="264" spans="7:20" x14ac:dyDescent="0.25">
      <c r="G264" s="7"/>
      <c r="N264" s="7"/>
      <c r="T264" s="7"/>
    </row>
    <row r="265" spans="7:20" x14ac:dyDescent="0.25">
      <c r="G265" s="7"/>
      <c r="N265" s="7"/>
      <c r="T265" s="7"/>
    </row>
    <row r="266" spans="7:20" x14ac:dyDescent="0.25">
      <c r="G266" s="7"/>
      <c r="N266" s="7"/>
      <c r="T266" s="7"/>
    </row>
    <row r="267" spans="7:20" x14ac:dyDescent="0.25">
      <c r="G267" s="7"/>
      <c r="N267" s="7"/>
      <c r="T267" s="7"/>
    </row>
    <row r="268" spans="7:20" x14ac:dyDescent="0.25">
      <c r="G268" s="7"/>
      <c r="N268" s="7"/>
      <c r="T268" s="7"/>
    </row>
    <row r="269" spans="7:20" x14ac:dyDescent="0.25">
      <c r="G269" s="7"/>
      <c r="N269" s="7"/>
      <c r="T269" s="7"/>
    </row>
    <row r="270" spans="7:20" x14ac:dyDescent="0.25">
      <c r="G270" s="7"/>
      <c r="N270" s="7"/>
      <c r="T270" s="7"/>
    </row>
    <row r="271" spans="7:20" x14ac:dyDescent="0.25">
      <c r="G271" s="7"/>
      <c r="N271" s="7"/>
      <c r="T271" s="7"/>
    </row>
    <row r="272" spans="7:20" x14ac:dyDescent="0.25">
      <c r="G272" s="7"/>
      <c r="N272" s="7"/>
      <c r="T272" s="7"/>
    </row>
    <row r="273" spans="7:20" x14ac:dyDescent="0.25">
      <c r="G273" s="7"/>
      <c r="N273" s="7"/>
      <c r="T273" s="7"/>
    </row>
    <row r="274" spans="7:20" x14ac:dyDescent="0.25">
      <c r="G274" s="7"/>
      <c r="N274" s="7"/>
      <c r="T274" s="7"/>
    </row>
    <row r="275" spans="7:20" x14ac:dyDescent="0.25">
      <c r="G275" s="7"/>
      <c r="N275" s="7"/>
      <c r="T275" s="7"/>
    </row>
    <row r="276" spans="7:20" x14ac:dyDescent="0.25">
      <c r="G276" s="7"/>
      <c r="N276" s="7"/>
      <c r="T276" s="7"/>
    </row>
    <row r="277" spans="7:20" x14ac:dyDescent="0.25">
      <c r="G277" s="7"/>
      <c r="N277" s="7"/>
      <c r="T277" s="7"/>
    </row>
    <row r="278" spans="7:20" x14ac:dyDescent="0.25">
      <c r="G278" s="7"/>
      <c r="N278" s="7"/>
      <c r="T278" s="7"/>
    </row>
    <row r="279" spans="7:20" x14ac:dyDescent="0.25">
      <c r="G279" s="7"/>
      <c r="N279" s="7"/>
      <c r="T279" s="7"/>
    </row>
    <row r="280" spans="7:20" x14ac:dyDescent="0.25">
      <c r="G280" s="7"/>
      <c r="N280" s="7"/>
      <c r="T280" s="7"/>
    </row>
    <row r="281" spans="7:20" x14ac:dyDescent="0.25">
      <c r="G281" s="7"/>
      <c r="N281" s="7"/>
      <c r="T281" s="7"/>
    </row>
    <row r="282" spans="7:20" x14ac:dyDescent="0.25">
      <c r="G282" s="7"/>
      <c r="N282" s="7"/>
      <c r="T282" s="7"/>
    </row>
    <row r="283" spans="7:20" x14ac:dyDescent="0.25">
      <c r="G283" s="7"/>
      <c r="N283" s="7"/>
      <c r="T283" s="7"/>
    </row>
    <row r="284" spans="7:20" x14ac:dyDescent="0.25">
      <c r="G284" s="7"/>
      <c r="N284" s="7"/>
      <c r="T284" s="7"/>
    </row>
    <row r="285" spans="7:20" x14ac:dyDescent="0.25">
      <c r="G285" s="7"/>
      <c r="N285" s="7"/>
      <c r="T285" s="7"/>
    </row>
    <row r="286" spans="7:20" x14ac:dyDescent="0.25">
      <c r="G286" s="7"/>
      <c r="N286" s="7"/>
      <c r="T286" s="7"/>
    </row>
    <row r="287" spans="7:20" x14ac:dyDescent="0.25">
      <c r="G287" s="7"/>
      <c r="N287" s="7"/>
      <c r="T287" s="7"/>
    </row>
    <row r="288" spans="7:20" x14ac:dyDescent="0.25">
      <c r="G288" s="7"/>
      <c r="N288" s="7"/>
      <c r="T288" s="7"/>
    </row>
    <row r="289" spans="7:20" x14ac:dyDescent="0.25">
      <c r="G289" s="7"/>
      <c r="N289" s="7"/>
      <c r="T289" s="7"/>
    </row>
    <row r="290" spans="7:20" x14ac:dyDescent="0.25">
      <c r="G290" s="7"/>
      <c r="N290" s="7"/>
      <c r="T290" s="7"/>
    </row>
    <row r="291" spans="7:20" x14ac:dyDescent="0.25">
      <c r="G291" s="7"/>
      <c r="N291" s="7"/>
      <c r="T291" s="7"/>
    </row>
    <row r="292" spans="7:20" x14ac:dyDescent="0.25">
      <c r="G292" s="7"/>
      <c r="N292" s="7"/>
      <c r="T292" s="7"/>
    </row>
    <row r="293" spans="7:20" x14ac:dyDescent="0.25">
      <c r="G293" s="7"/>
      <c r="N293" s="7"/>
      <c r="T293" s="7"/>
    </row>
    <row r="294" spans="7:20" x14ac:dyDescent="0.25">
      <c r="G294" s="7"/>
      <c r="N294" s="7"/>
      <c r="T294" s="7"/>
    </row>
    <row r="295" spans="7:20" x14ac:dyDescent="0.25">
      <c r="G295" s="7"/>
      <c r="N295" s="7"/>
      <c r="T295" s="7"/>
    </row>
    <row r="296" spans="7:20" x14ac:dyDescent="0.25">
      <c r="G296" s="7"/>
      <c r="N296" s="7"/>
      <c r="T296" s="7"/>
    </row>
    <row r="297" spans="7:20" x14ac:dyDescent="0.25">
      <c r="G297" s="7"/>
      <c r="N297" s="7"/>
      <c r="T297" s="7"/>
    </row>
    <row r="298" spans="7:20" x14ac:dyDescent="0.25">
      <c r="G298" s="7"/>
      <c r="N298" s="7"/>
      <c r="T298" s="7"/>
    </row>
    <row r="299" spans="7:20" x14ac:dyDescent="0.25">
      <c r="G299" s="7"/>
      <c r="N299" s="7"/>
      <c r="T299" s="7"/>
    </row>
    <row r="300" spans="7:20" x14ac:dyDescent="0.25">
      <c r="G300" s="7"/>
      <c r="N300" s="7"/>
      <c r="T300" s="7"/>
    </row>
    <row r="301" spans="7:20" x14ac:dyDescent="0.25">
      <c r="G301" s="7"/>
      <c r="N301" s="7"/>
      <c r="T301" s="7"/>
    </row>
    <row r="302" spans="7:20" x14ac:dyDescent="0.25">
      <c r="G302" s="7"/>
      <c r="N302" s="7"/>
      <c r="T302" s="7"/>
    </row>
    <row r="303" spans="7:20" x14ac:dyDescent="0.25">
      <c r="G303" s="7"/>
      <c r="N303" s="7"/>
      <c r="T303" s="7"/>
    </row>
    <row r="304" spans="7:20" x14ac:dyDescent="0.25">
      <c r="G304" s="7"/>
      <c r="N304" s="7"/>
      <c r="T304" s="7"/>
    </row>
    <row r="305" spans="7:20" x14ac:dyDescent="0.25">
      <c r="G305" s="7"/>
      <c r="N305" s="7"/>
      <c r="T305" s="7"/>
    </row>
    <row r="306" spans="7:20" x14ac:dyDescent="0.25">
      <c r="G306" s="7"/>
      <c r="N306" s="7"/>
      <c r="T306" s="7"/>
    </row>
    <row r="307" spans="7:20" x14ac:dyDescent="0.25">
      <c r="G307" s="7"/>
      <c r="N307" s="7"/>
      <c r="T307" s="7"/>
    </row>
    <row r="308" spans="7:20" x14ac:dyDescent="0.25">
      <c r="G308" s="7"/>
      <c r="N308" s="7"/>
      <c r="T308" s="7"/>
    </row>
    <row r="309" spans="7:20" x14ac:dyDescent="0.25">
      <c r="G309" s="7"/>
      <c r="N309" s="7"/>
      <c r="T309" s="7"/>
    </row>
    <row r="310" spans="7:20" x14ac:dyDescent="0.25">
      <c r="G310" s="7"/>
      <c r="N310" s="7"/>
      <c r="T310" s="7"/>
    </row>
    <row r="311" spans="7:20" x14ac:dyDescent="0.25">
      <c r="G311" s="7"/>
      <c r="N311" s="7"/>
      <c r="T311" s="7"/>
    </row>
    <row r="312" spans="7:20" x14ac:dyDescent="0.25">
      <c r="G312" s="7"/>
      <c r="N312" s="7"/>
      <c r="T312" s="7"/>
    </row>
    <row r="313" spans="7:20" x14ac:dyDescent="0.25">
      <c r="G313" s="7"/>
      <c r="N313" s="7"/>
      <c r="T313" s="7"/>
    </row>
    <row r="314" spans="7:20" x14ac:dyDescent="0.25">
      <c r="G314" s="7"/>
      <c r="N314" s="7"/>
      <c r="T314" s="7"/>
    </row>
    <row r="315" spans="7:20" x14ac:dyDescent="0.25">
      <c r="G315" s="7"/>
      <c r="N315" s="7"/>
      <c r="T315" s="7"/>
    </row>
    <row r="316" spans="7:20" x14ac:dyDescent="0.25">
      <c r="G316" s="7"/>
      <c r="N316" s="7"/>
      <c r="T316" s="7"/>
    </row>
    <row r="317" spans="7:20" x14ac:dyDescent="0.25">
      <c r="G317" s="7"/>
      <c r="N317" s="7"/>
      <c r="T317" s="7"/>
    </row>
    <row r="318" spans="7:20" x14ac:dyDescent="0.25">
      <c r="G318" s="7"/>
      <c r="N318" s="7"/>
      <c r="T318" s="7"/>
    </row>
    <row r="319" spans="7:20" x14ac:dyDescent="0.25">
      <c r="G319" s="7"/>
      <c r="N319" s="7"/>
      <c r="T319" s="7"/>
    </row>
    <row r="320" spans="7:20" x14ac:dyDescent="0.25">
      <c r="G320" s="7"/>
      <c r="N320" s="7"/>
      <c r="T320" s="7"/>
    </row>
    <row r="321" spans="7:20" x14ac:dyDescent="0.25">
      <c r="G321" s="7"/>
      <c r="N321" s="7"/>
      <c r="T321" s="7"/>
    </row>
    <row r="322" spans="7:20" x14ac:dyDescent="0.25">
      <c r="G322" s="7"/>
      <c r="N322" s="7"/>
      <c r="T322" s="7"/>
    </row>
    <row r="323" spans="7:20" x14ac:dyDescent="0.25">
      <c r="G323" s="7"/>
      <c r="N323" s="7"/>
      <c r="T323" s="7"/>
    </row>
    <row r="324" spans="7:20" x14ac:dyDescent="0.25">
      <c r="G324" s="7"/>
      <c r="N324" s="7"/>
      <c r="T324" s="7"/>
    </row>
    <row r="325" spans="7:20" x14ac:dyDescent="0.25">
      <c r="G325" s="7"/>
      <c r="N325" s="7"/>
      <c r="T325" s="7"/>
    </row>
    <row r="326" spans="7:20" x14ac:dyDescent="0.25">
      <c r="G326" s="7"/>
      <c r="N326" s="7"/>
      <c r="T326" s="7"/>
    </row>
    <row r="327" spans="7:20" x14ac:dyDescent="0.25">
      <c r="G327" s="7"/>
      <c r="N327" s="7"/>
      <c r="T327" s="7"/>
    </row>
    <row r="328" spans="7:20" x14ac:dyDescent="0.25">
      <c r="G328" s="7"/>
      <c r="N328" s="7"/>
      <c r="T328" s="7"/>
    </row>
    <row r="329" spans="7:20" x14ac:dyDescent="0.25">
      <c r="G329" s="7"/>
      <c r="N329" s="7"/>
      <c r="T329" s="7"/>
    </row>
    <row r="330" spans="7:20" x14ac:dyDescent="0.25">
      <c r="G330" s="7"/>
      <c r="N330" s="7"/>
      <c r="T330" s="7"/>
    </row>
    <row r="331" spans="7:20" x14ac:dyDescent="0.25">
      <c r="G331" s="7"/>
      <c r="N331" s="7"/>
      <c r="T331" s="7"/>
    </row>
    <row r="332" spans="7:20" x14ac:dyDescent="0.25">
      <c r="G332" s="7"/>
      <c r="N332" s="7"/>
      <c r="T332" s="7"/>
    </row>
    <row r="333" spans="7:20" x14ac:dyDescent="0.25">
      <c r="G333" s="7"/>
      <c r="N333" s="7"/>
      <c r="T333" s="7"/>
    </row>
    <row r="334" spans="7:20" x14ac:dyDescent="0.25">
      <c r="G334" s="7"/>
      <c r="N334" s="7"/>
      <c r="T334" s="7"/>
    </row>
    <row r="335" spans="7:20" x14ac:dyDescent="0.25">
      <c r="G335" s="7"/>
      <c r="N335" s="7"/>
      <c r="T335" s="7"/>
    </row>
    <row r="336" spans="7:20" x14ac:dyDescent="0.25">
      <c r="G336" s="7"/>
      <c r="N336" s="7"/>
      <c r="T336" s="7"/>
    </row>
    <row r="337" spans="7:20" x14ac:dyDescent="0.25">
      <c r="G337" s="7"/>
      <c r="N337" s="7"/>
      <c r="T337" s="7"/>
    </row>
    <row r="338" spans="7:20" x14ac:dyDescent="0.25">
      <c r="G338" s="7"/>
      <c r="N338" s="7"/>
      <c r="T338" s="7"/>
    </row>
    <row r="339" spans="7:20" x14ac:dyDescent="0.25">
      <c r="G339" s="7"/>
      <c r="N339" s="7"/>
      <c r="T339" s="7"/>
    </row>
    <row r="340" spans="7:20" x14ac:dyDescent="0.25">
      <c r="G340" s="7"/>
      <c r="N340" s="7"/>
      <c r="T340" s="7"/>
    </row>
    <row r="341" spans="7:20" x14ac:dyDescent="0.25">
      <c r="G341" s="7"/>
      <c r="N341" s="7"/>
      <c r="T341" s="7"/>
    </row>
    <row r="342" spans="7:20" x14ac:dyDescent="0.25">
      <c r="G342" s="7"/>
      <c r="N342" s="7"/>
      <c r="T342" s="7"/>
    </row>
    <row r="343" spans="7:20" x14ac:dyDescent="0.25">
      <c r="G343" s="7"/>
      <c r="N343" s="7"/>
      <c r="T343" s="7"/>
    </row>
    <row r="344" spans="7:20" x14ac:dyDescent="0.25">
      <c r="G344" s="7"/>
      <c r="N344" s="7"/>
      <c r="T344" s="7"/>
    </row>
    <row r="345" spans="7:20" x14ac:dyDescent="0.25">
      <c r="G345" s="7"/>
      <c r="N345" s="7"/>
      <c r="T345" s="7"/>
    </row>
    <row r="346" spans="7:20" x14ac:dyDescent="0.25">
      <c r="G346" s="7"/>
      <c r="N346" s="7"/>
      <c r="T346" s="7"/>
    </row>
    <row r="347" spans="7:20" x14ac:dyDescent="0.25">
      <c r="G347" s="7"/>
      <c r="N347" s="7"/>
      <c r="T347" s="7"/>
    </row>
    <row r="348" spans="7:20" x14ac:dyDescent="0.25">
      <c r="G348" s="7"/>
      <c r="N348" s="7"/>
      <c r="T348" s="7"/>
    </row>
    <row r="349" spans="7:20" x14ac:dyDescent="0.25">
      <c r="G349" s="7"/>
      <c r="N349" s="7"/>
      <c r="T349" s="7"/>
    </row>
    <row r="350" spans="7:20" x14ac:dyDescent="0.25">
      <c r="G350" s="7"/>
      <c r="N350" s="7"/>
      <c r="T350" s="7"/>
    </row>
    <row r="351" spans="7:20" x14ac:dyDescent="0.25">
      <c r="G351" s="7"/>
      <c r="N351" s="7"/>
      <c r="T351" s="7"/>
    </row>
    <row r="352" spans="7:20" x14ac:dyDescent="0.25">
      <c r="G352" s="7"/>
      <c r="N352" s="7"/>
      <c r="T352" s="7"/>
    </row>
    <row r="353" spans="7:20" x14ac:dyDescent="0.25">
      <c r="G353" s="7"/>
      <c r="N353" s="7"/>
      <c r="T353" s="7"/>
    </row>
    <row r="354" spans="7:20" x14ac:dyDescent="0.25">
      <c r="G354" s="7"/>
      <c r="N354" s="7"/>
      <c r="T354" s="7"/>
    </row>
    <row r="355" spans="7:20" x14ac:dyDescent="0.25">
      <c r="G355" s="7"/>
      <c r="N355" s="7"/>
      <c r="T355" s="7"/>
    </row>
    <row r="356" spans="7:20" x14ac:dyDescent="0.25">
      <c r="G356" s="7"/>
      <c r="N356" s="7"/>
      <c r="T356" s="7"/>
    </row>
    <row r="357" spans="7:20" x14ac:dyDescent="0.25">
      <c r="G357" s="7"/>
      <c r="N357" s="7"/>
      <c r="T357" s="7"/>
    </row>
    <row r="358" spans="7:20" x14ac:dyDescent="0.25">
      <c r="G358" s="7"/>
      <c r="N358" s="7"/>
      <c r="T358" s="7"/>
    </row>
    <row r="359" spans="7:20" x14ac:dyDescent="0.25">
      <c r="G359" s="7"/>
      <c r="N359" s="7"/>
      <c r="T359" s="7"/>
    </row>
    <row r="360" spans="7:20" x14ac:dyDescent="0.25">
      <c r="G360" s="7"/>
      <c r="N360" s="7"/>
      <c r="T360" s="7"/>
    </row>
    <row r="361" spans="7:20" x14ac:dyDescent="0.25">
      <c r="G361" s="7"/>
      <c r="N361" s="7"/>
      <c r="T361" s="7"/>
    </row>
    <row r="362" spans="7:20" x14ac:dyDescent="0.25">
      <c r="G362" s="7"/>
      <c r="N362" s="7"/>
      <c r="T362" s="7"/>
    </row>
    <row r="363" spans="7:20" x14ac:dyDescent="0.25">
      <c r="G363" s="7"/>
      <c r="N363" s="7"/>
      <c r="T363" s="7"/>
    </row>
    <row r="364" spans="7:20" x14ac:dyDescent="0.25">
      <c r="G364" s="7"/>
      <c r="N364" s="7"/>
      <c r="T364" s="7"/>
    </row>
    <row r="365" spans="7:20" x14ac:dyDescent="0.25">
      <c r="G365" s="7"/>
      <c r="N365" s="7"/>
      <c r="T365" s="7"/>
    </row>
    <row r="366" spans="7:20" x14ac:dyDescent="0.25">
      <c r="G366" s="7"/>
      <c r="N366" s="7"/>
      <c r="T366" s="7"/>
    </row>
    <row r="367" spans="7:20" x14ac:dyDescent="0.25">
      <c r="G367" s="7"/>
      <c r="N367" s="7"/>
      <c r="T367" s="7"/>
    </row>
    <row r="368" spans="7:20" x14ac:dyDescent="0.25">
      <c r="G368" s="7"/>
      <c r="N368" s="7"/>
      <c r="T368" s="7"/>
    </row>
    <row r="369" spans="7:20" x14ac:dyDescent="0.25">
      <c r="G369" s="7"/>
      <c r="N369" s="7"/>
      <c r="T369" s="7"/>
    </row>
    <row r="370" spans="7:20" x14ac:dyDescent="0.25">
      <c r="G370" s="7"/>
      <c r="N370" s="7"/>
      <c r="T370" s="7"/>
    </row>
    <row r="371" spans="7:20" x14ac:dyDescent="0.25">
      <c r="G371" s="7"/>
      <c r="N371" s="7"/>
      <c r="T371" s="7"/>
    </row>
    <row r="372" spans="7:20" x14ac:dyDescent="0.25">
      <c r="G372" s="7"/>
      <c r="N372" s="7"/>
      <c r="T372" s="7"/>
    </row>
    <row r="373" spans="7:20" x14ac:dyDescent="0.25">
      <c r="G373" s="7"/>
      <c r="N373" s="7"/>
      <c r="T373" s="7"/>
    </row>
    <row r="374" spans="7:20" x14ac:dyDescent="0.25">
      <c r="G374" s="7"/>
      <c r="N374" s="7"/>
      <c r="T374" s="7"/>
    </row>
    <row r="375" spans="7:20" x14ac:dyDescent="0.25">
      <c r="G375" s="7"/>
      <c r="N375" s="7"/>
      <c r="T375" s="7"/>
    </row>
    <row r="376" spans="7:20" x14ac:dyDescent="0.25">
      <c r="G376" s="7"/>
      <c r="N376" s="7"/>
      <c r="T376" s="7"/>
    </row>
    <row r="377" spans="7:20" x14ac:dyDescent="0.25">
      <c r="G377" s="7"/>
      <c r="N377" s="7"/>
      <c r="T377" s="7"/>
    </row>
    <row r="378" spans="7:20" x14ac:dyDescent="0.25">
      <c r="G378" s="7"/>
      <c r="N378" s="7"/>
      <c r="T378" s="7"/>
    </row>
    <row r="379" spans="7:20" x14ac:dyDescent="0.25">
      <c r="G379" s="7"/>
      <c r="N379" s="7"/>
      <c r="T379" s="7"/>
    </row>
    <row r="380" spans="7:20" x14ac:dyDescent="0.25">
      <c r="G380" s="7"/>
      <c r="N380" s="7"/>
      <c r="T380" s="7"/>
    </row>
    <row r="381" spans="7:20" x14ac:dyDescent="0.25">
      <c r="G381" s="7"/>
      <c r="N381" s="7"/>
      <c r="T381" s="7"/>
    </row>
    <row r="382" spans="7:20" x14ac:dyDescent="0.25">
      <c r="G382" s="7"/>
      <c r="N382" s="7"/>
      <c r="T382" s="7"/>
    </row>
    <row r="383" spans="7:20" x14ac:dyDescent="0.25">
      <c r="G383" s="7"/>
      <c r="N383" s="7"/>
      <c r="T383" s="7"/>
    </row>
    <row r="384" spans="7:20" x14ac:dyDescent="0.25">
      <c r="G384" s="7"/>
      <c r="N384" s="7"/>
      <c r="T384" s="7"/>
    </row>
    <row r="385" spans="7:20" x14ac:dyDescent="0.25">
      <c r="G385" s="7"/>
      <c r="N385" s="7"/>
      <c r="T385" s="7"/>
    </row>
    <row r="386" spans="7:20" x14ac:dyDescent="0.25">
      <c r="G386" s="7"/>
      <c r="N386" s="7"/>
      <c r="T386" s="7"/>
    </row>
    <row r="387" spans="7:20" x14ac:dyDescent="0.25">
      <c r="G387" s="7"/>
      <c r="N387" s="7"/>
      <c r="T387" s="7"/>
    </row>
    <row r="388" spans="7:20" x14ac:dyDescent="0.25">
      <c r="G388" s="7"/>
      <c r="N388" s="7"/>
      <c r="T388" s="7"/>
    </row>
    <row r="389" spans="7:20" x14ac:dyDescent="0.25">
      <c r="G389" s="7"/>
      <c r="N389" s="7"/>
      <c r="T389" s="7"/>
    </row>
    <row r="390" spans="7:20" x14ac:dyDescent="0.25">
      <c r="G390" s="7"/>
      <c r="N390" s="7"/>
      <c r="T390" s="7"/>
    </row>
    <row r="391" spans="7:20" x14ac:dyDescent="0.25">
      <c r="G391" s="7"/>
      <c r="N391" s="7"/>
      <c r="T391" s="7"/>
    </row>
    <row r="392" spans="7:20" x14ac:dyDescent="0.25">
      <c r="G392" s="7"/>
      <c r="N392" s="7"/>
      <c r="T392" s="7"/>
    </row>
    <row r="393" spans="7:20" x14ac:dyDescent="0.25">
      <c r="G393" s="7"/>
      <c r="N393" s="7"/>
      <c r="T393" s="7"/>
    </row>
    <row r="394" spans="7:20" x14ac:dyDescent="0.25">
      <c r="G394" s="7"/>
      <c r="N394" s="7"/>
      <c r="T394" s="7"/>
    </row>
    <row r="395" spans="7:20" x14ac:dyDescent="0.25">
      <c r="G395" s="7"/>
      <c r="N395" s="7"/>
      <c r="T395" s="7"/>
    </row>
    <row r="396" spans="7:20" x14ac:dyDescent="0.25">
      <c r="G396" s="7"/>
      <c r="N396" s="7"/>
      <c r="T396" s="7"/>
    </row>
    <row r="397" spans="7:20" x14ac:dyDescent="0.25">
      <c r="G397" s="7"/>
      <c r="N397" s="7"/>
      <c r="T397" s="7"/>
    </row>
    <row r="398" spans="7:20" x14ac:dyDescent="0.25">
      <c r="G398" s="7"/>
      <c r="N398" s="7"/>
      <c r="T398" s="7"/>
    </row>
    <row r="399" spans="7:20" x14ac:dyDescent="0.25">
      <c r="G399" s="7"/>
      <c r="N399" s="7"/>
      <c r="T399" s="7"/>
    </row>
    <row r="400" spans="7:20" x14ac:dyDescent="0.25">
      <c r="G400" s="7"/>
      <c r="N400" s="7"/>
      <c r="T400" s="7"/>
    </row>
    <row r="401" spans="7:20" x14ac:dyDescent="0.25">
      <c r="G401" s="7"/>
      <c r="N401" s="7"/>
      <c r="T401" s="7"/>
    </row>
    <row r="402" spans="7:20" x14ac:dyDescent="0.25">
      <c r="G402" s="7"/>
      <c r="N402" s="7"/>
      <c r="T402" s="7"/>
    </row>
    <row r="403" spans="7:20" x14ac:dyDescent="0.25">
      <c r="G403" s="7"/>
      <c r="N403" s="7"/>
      <c r="T403" s="7"/>
    </row>
    <row r="404" spans="7:20" x14ac:dyDescent="0.25">
      <c r="G404" s="7"/>
      <c r="N404" s="7"/>
      <c r="T404" s="7"/>
    </row>
    <row r="405" spans="7:20" x14ac:dyDescent="0.25">
      <c r="G405" s="7"/>
      <c r="N405" s="7"/>
      <c r="T405" s="7"/>
    </row>
    <row r="406" spans="7:20" x14ac:dyDescent="0.25">
      <c r="G406" s="7"/>
      <c r="N406" s="7"/>
      <c r="T406" s="7"/>
    </row>
    <row r="407" spans="7:20" x14ac:dyDescent="0.25">
      <c r="G407" s="7"/>
      <c r="N407" s="7"/>
      <c r="T407" s="7"/>
    </row>
    <row r="408" spans="7:20" x14ac:dyDescent="0.25">
      <c r="G408" s="7"/>
      <c r="N408" s="7"/>
      <c r="T408" s="7"/>
    </row>
    <row r="409" spans="7:20" x14ac:dyDescent="0.25">
      <c r="G409" s="7"/>
      <c r="N409" s="7"/>
      <c r="T409" s="7"/>
    </row>
    <row r="410" spans="7:20" x14ac:dyDescent="0.25">
      <c r="G410" s="7"/>
      <c r="N410" s="7"/>
      <c r="T410" s="7"/>
    </row>
    <row r="411" spans="7:20" x14ac:dyDescent="0.25">
      <c r="G411" s="7"/>
      <c r="N411" s="7"/>
      <c r="T411" s="7"/>
    </row>
    <row r="412" spans="7:20" x14ac:dyDescent="0.25">
      <c r="G412" s="7"/>
      <c r="N412" s="7"/>
      <c r="T412" s="7"/>
    </row>
    <row r="413" spans="7:20" x14ac:dyDescent="0.25">
      <c r="G413" s="7"/>
      <c r="N413" s="7"/>
      <c r="T413" s="7"/>
    </row>
    <row r="414" spans="7:20" x14ac:dyDescent="0.25">
      <c r="G414" s="7"/>
      <c r="N414" s="7"/>
      <c r="T414" s="7"/>
    </row>
    <row r="415" spans="7:20" x14ac:dyDescent="0.25">
      <c r="G415" s="7"/>
      <c r="N415" s="7"/>
      <c r="T415" s="7"/>
    </row>
    <row r="416" spans="7:20" x14ac:dyDescent="0.25">
      <c r="G416" s="7"/>
      <c r="N416" s="7"/>
      <c r="T416" s="7"/>
    </row>
    <row r="417" spans="7:20" x14ac:dyDescent="0.25">
      <c r="G417" s="7"/>
      <c r="N417" s="7"/>
      <c r="T417" s="7"/>
    </row>
    <row r="418" spans="7:20" x14ac:dyDescent="0.25">
      <c r="G418" s="7"/>
      <c r="N418" s="7"/>
      <c r="T418" s="7"/>
    </row>
    <row r="419" spans="7:20" x14ac:dyDescent="0.25">
      <c r="G419" s="7"/>
      <c r="N419" s="7"/>
      <c r="T419" s="7"/>
    </row>
    <row r="420" spans="7:20" x14ac:dyDescent="0.25">
      <c r="G420" s="7"/>
      <c r="N420" s="7"/>
      <c r="T420" s="7"/>
    </row>
    <row r="421" spans="7:20" x14ac:dyDescent="0.25">
      <c r="G421" s="7"/>
      <c r="N421" s="7"/>
      <c r="T421" s="7"/>
    </row>
    <row r="422" spans="7:20" x14ac:dyDescent="0.25">
      <c r="G422" s="7"/>
      <c r="N422" s="7"/>
      <c r="T422" s="7"/>
    </row>
    <row r="423" spans="7:20" x14ac:dyDescent="0.25">
      <c r="G423" s="7"/>
      <c r="N423" s="7"/>
      <c r="T423" s="7"/>
    </row>
    <row r="424" spans="7:20" x14ac:dyDescent="0.25">
      <c r="G424" s="7"/>
      <c r="N424" s="7"/>
      <c r="T424" s="7"/>
    </row>
    <row r="425" spans="7:20" x14ac:dyDescent="0.25">
      <c r="G425" s="7"/>
      <c r="N425" s="7"/>
      <c r="T425" s="7"/>
    </row>
    <row r="426" spans="7:20" x14ac:dyDescent="0.25">
      <c r="G426" s="7"/>
      <c r="N426" s="7"/>
      <c r="T426" s="7"/>
    </row>
    <row r="427" spans="7:20" x14ac:dyDescent="0.25">
      <c r="G427" s="7"/>
      <c r="N427" s="7"/>
      <c r="T427" s="7"/>
    </row>
    <row r="428" spans="7:20" x14ac:dyDescent="0.25">
      <c r="G428" s="7"/>
      <c r="N428" s="7"/>
      <c r="T428" s="7"/>
    </row>
    <row r="429" spans="7:20" x14ac:dyDescent="0.25">
      <c r="G429" s="7"/>
      <c r="N429" s="7"/>
      <c r="T429" s="7"/>
    </row>
    <row r="430" spans="7:20" x14ac:dyDescent="0.25">
      <c r="G430" s="7"/>
      <c r="N430" s="7"/>
      <c r="T430" s="7"/>
    </row>
    <row r="431" spans="7:20" x14ac:dyDescent="0.25">
      <c r="G431" s="7"/>
      <c r="N431" s="7"/>
      <c r="T431" s="7"/>
    </row>
    <row r="432" spans="7:20" x14ac:dyDescent="0.25">
      <c r="G432" s="7"/>
      <c r="N432" s="7"/>
      <c r="T432" s="7"/>
    </row>
    <row r="433" spans="7:20" x14ac:dyDescent="0.25">
      <c r="G433" s="7"/>
      <c r="N433" s="7"/>
      <c r="T433" s="7"/>
    </row>
    <row r="434" spans="7:20" x14ac:dyDescent="0.25">
      <c r="G434" s="7"/>
      <c r="N434" s="7"/>
      <c r="T434" s="7"/>
    </row>
    <row r="435" spans="7:20" x14ac:dyDescent="0.25">
      <c r="G435" s="7"/>
      <c r="N435" s="7"/>
      <c r="T435" s="7"/>
    </row>
    <row r="436" spans="7:20" x14ac:dyDescent="0.25">
      <c r="G436" s="7"/>
      <c r="N436" s="7"/>
      <c r="T436" s="7"/>
    </row>
    <row r="437" spans="7:20" x14ac:dyDescent="0.25">
      <c r="G437" s="7"/>
      <c r="N437" s="7"/>
      <c r="T437" s="7"/>
    </row>
    <row r="438" spans="7:20" x14ac:dyDescent="0.25">
      <c r="G438" s="7"/>
      <c r="N438" s="7"/>
      <c r="T438" s="7"/>
    </row>
    <row r="439" spans="7:20" x14ac:dyDescent="0.25">
      <c r="G439" s="7"/>
      <c r="N439" s="7"/>
      <c r="T439" s="7"/>
    </row>
    <row r="440" spans="7:20" x14ac:dyDescent="0.25">
      <c r="G440" s="7"/>
      <c r="N440" s="7"/>
      <c r="T440" s="7"/>
    </row>
    <row r="441" spans="7:20" x14ac:dyDescent="0.25">
      <c r="G441" s="7"/>
      <c r="N441" s="7"/>
      <c r="T441" s="7"/>
    </row>
    <row r="442" spans="7:20" x14ac:dyDescent="0.25">
      <c r="G442" s="7"/>
      <c r="N442" s="7"/>
      <c r="T442" s="7"/>
    </row>
    <row r="443" spans="7:20" x14ac:dyDescent="0.25">
      <c r="G443" s="7"/>
      <c r="N443" s="7"/>
      <c r="T443" s="7"/>
    </row>
    <row r="444" spans="7:20" x14ac:dyDescent="0.25">
      <c r="G444" s="7"/>
      <c r="N444" s="7"/>
      <c r="T444" s="7"/>
    </row>
    <row r="445" spans="7:20" x14ac:dyDescent="0.25">
      <c r="G445" s="7"/>
      <c r="N445" s="7"/>
      <c r="T445" s="7"/>
    </row>
    <row r="446" spans="7:20" x14ac:dyDescent="0.25">
      <c r="G446" s="7"/>
      <c r="N446" s="7"/>
      <c r="T446" s="7"/>
    </row>
    <row r="447" spans="7:20" x14ac:dyDescent="0.25">
      <c r="G447" s="7"/>
      <c r="N447" s="7"/>
      <c r="T447" s="7"/>
    </row>
    <row r="448" spans="7:20" x14ac:dyDescent="0.25">
      <c r="G448" s="7"/>
      <c r="N448" s="7"/>
      <c r="T448" s="7"/>
    </row>
    <row r="449" spans="7:20" x14ac:dyDescent="0.25">
      <c r="G449" s="7"/>
      <c r="N449" s="7"/>
      <c r="T449" s="7"/>
    </row>
    <row r="450" spans="7:20" x14ac:dyDescent="0.25">
      <c r="G450" s="7"/>
      <c r="N450" s="7"/>
      <c r="T450" s="7"/>
    </row>
    <row r="451" spans="7:20" x14ac:dyDescent="0.25">
      <c r="G451" s="7"/>
      <c r="N451" s="7"/>
      <c r="T451" s="7"/>
    </row>
    <row r="452" spans="7:20" x14ac:dyDescent="0.25">
      <c r="G452" s="7"/>
      <c r="N452" s="7"/>
      <c r="T452" s="7"/>
    </row>
    <row r="453" spans="7:20" x14ac:dyDescent="0.25">
      <c r="G453" s="7"/>
      <c r="N453" s="7"/>
      <c r="T453" s="7"/>
    </row>
    <row r="454" spans="7:20" x14ac:dyDescent="0.25">
      <c r="G454" s="7"/>
      <c r="N454" s="7"/>
      <c r="T454" s="7"/>
    </row>
    <row r="455" spans="7:20" x14ac:dyDescent="0.25">
      <c r="G455" s="7"/>
      <c r="N455" s="7"/>
      <c r="T455" s="7"/>
    </row>
    <row r="456" spans="7:20" x14ac:dyDescent="0.25">
      <c r="G456" s="7"/>
      <c r="N456" s="7"/>
      <c r="T456" s="7"/>
    </row>
    <row r="457" spans="7:20" x14ac:dyDescent="0.25">
      <c r="G457" s="7"/>
      <c r="N457" s="7"/>
      <c r="T457" s="7"/>
    </row>
    <row r="458" spans="7:20" x14ac:dyDescent="0.25">
      <c r="G458" s="7"/>
      <c r="N458" s="7"/>
      <c r="T458" s="7"/>
    </row>
    <row r="459" spans="7:20" x14ac:dyDescent="0.25">
      <c r="G459" s="7"/>
      <c r="N459" s="7"/>
      <c r="T459" s="7"/>
    </row>
    <row r="460" spans="7:20" x14ac:dyDescent="0.25">
      <c r="G460" s="7"/>
      <c r="N460" s="7"/>
      <c r="T460" s="7"/>
    </row>
    <row r="461" spans="7:20" x14ac:dyDescent="0.25">
      <c r="G461" s="7"/>
      <c r="N461" s="7"/>
      <c r="T461" s="7"/>
    </row>
    <row r="462" spans="7:20" x14ac:dyDescent="0.25">
      <c r="G462" s="7"/>
      <c r="N462" s="7"/>
      <c r="T462" s="7"/>
    </row>
    <row r="463" spans="7:20" x14ac:dyDescent="0.25">
      <c r="G463" s="7"/>
      <c r="N463" s="7"/>
      <c r="T463" s="7"/>
    </row>
    <row r="464" spans="7:20" x14ac:dyDescent="0.25">
      <c r="G464" s="7"/>
      <c r="N464" s="7"/>
      <c r="T464" s="7"/>
    </row>
    <row r="465" spans="7:20" x14ac:dyDescent="0.25">
      <c r="G465" s="7"/>
      <c r="N465" s="7"/>
      <c r="T465" s="7"/>
    </row>
    <row r="466" spans="7:20" x14ac:dyDescent="0.25">
      <c r="G466" s="7"/>
      <c r="N466" s="7"/>
      <c r="T466" s="7"/>
    </row>
    <row r="467" spans="7:20" x14ac:dyDescent="0.25">
      <c r="G467" s="7"/>
      <c r="N467" s="7"/>
      <c r="T467" s="7"/>
    </row>
    <row r="468" spans="7:20" x14ac:dyDescent="0.25">
      <c r="G468" s="7"/>
      <c r="N468" s="7"/>
      <c r="T468" s="7"/>
    </row>
    <row r="469" spans="7:20" x14ac:dyDescent="0.25">
      <c r="G469" s="7"/>
      <c r="N469" s="7"/>
      <c r="T469" s="7"/>
    </row>
    <row r="470" spans="7:20" x14ac:dyDescent="0.25">
      <c r="G470" s="7"/>
      <c r="N470" s="7"/>
      <c r="T470" s="7"/>
    </row>
    <row r="471" spans="7:20" x14ac:dyDescent="0.25">
      <c r="G471" s="7"/>
      <c r="N471" s="7"/>
      <c r="T471" s="7"/>
    </row>
    <row r="472" spans="7:20" x14ac:dyDescent="0.25">
      <c r="G472" s="7"/>
      <c r="N472" s="7"/>
      <c r="T472" s="7"/>
    </row>
    <row r="473" spans="7:20" x14ac:dyDescent="0.25">
      <c r="G473" s="7"/>
      <c r="N473" s="7"/>
      <c r="T473" s="7"/>
    </row>
    <row r="474" spans="7:20" x14ac:dyDescent="0.25">
      <c r="G474" s="7"/>
      <c r="N474" s="7"/>
      <c r="T474" s="7"/>
    </row>
    <row r="475" spans="7:20" x14ac:dyDescent="0.25">
      <c r="G475" s="7"/>
      <c r="N475" s="7"/>
      <c r="T475" s="7"/>
    </row>
    <row r="476" spans="7:20" x14ac:dyDescent="0.25">
      <c r="G476" s="7"/>
      <c r="N476" s="7"/>
      <c r="T476" s="7"/>
    </row>
    <row r="477" spans="7:20" x14ac:dyDescent="0.25">
      <c r="G477" s="7"/>
      <c r="N477" s="7"/>
      <c r="T477" s="7"/>
    </row>
    <row r="478" spans="7:20" x14ac:dyDescent="0.25">
      <c r="G478" s="7"/>
      <c r="N478" s="7"/>
      <c r="T478" s="7"/>
    </row>
    <row r="479" spans="7:20" x14ac:dyDescent="0.25">
      <c r="G479" s="7"/>
      <c r="N479" s="7"/>
      <c r="T479" s="7"/>
    </row>
    <row r="480" spans="7:20" x14ac:dyDescent="0.25">
      <c r="G480" s="7"/>
      <c r="N480" s="7"/>
      <c r="T480" s="7"/>
    </row>
    <row r="481" spans="7:20" x14ac:dyDescent="0.25">
      <c r="G481" s="7"/>
      <c r="N481" s="7"/>
      <c r="T481" s="7"/>
    </row>
    <row r="482" spans="7:20" x14ac:dyDescent="0.25">
      <c r="G482" s="7"/>
      <c r="N482" s="7"/>
      <c r="T482" s="7"/>
    </row>
    <row r="483" spans="7:20" x14ac:dyDescent="0.25">
      <c r="G483" s="7"/>
      <c r="N483" s="7"/>
      <c r="T483" s="7"/>
    </row>
    <row r="484" spans="7:20" x14ac:dyDescent="0.25">
      <c r="G484" s="7"/>
      <c r="N484" s="7"/>
      <c r="T484" s="7"/>
    </row>
    <row r="485" spans="7:20" x14ac:dyDescent="0.25">
      <c r="G485" s="7"/>
      <c r="N485" s="7"/>
      <c r="T485" s="7"/>
    </row>
    <row r="486" spans="7:20" x14ac:dyDescent="0.25">
      <c r="G486" s="7"/>
      <c r="N486" s="7"/>
      <c r="T486" s="7"/>
    </row>
    <row r="487" spans="7:20" x14ac:dyDescent="0.25">
      <c r="G487" s="7"/>
      <c r="N487" s="7"/>
      <c r="T487" s="7"/>
    </row>
    <row r="488" spans="7:20" x14ac:dyDescent="0.25">
      <c r="G488" s="7"/>
      <c r="N488" s="7"/>
      <c r="T488" s="7"/>
    </row>
    <row r="489" spans="7:20" x14ac:dyDescent="0.25">
      <c r="G489" s="7"/>
      <c r="N489" s="7"/>
      <c r="T489" s="7"/>
    </row>
    <row r="490" spans="7:20" x14ac:dyDescent="0.25">
      <c r="G490" s="7"/>
      <c r="N490" s="7"/>
      <c r="T490" s="7"/>
    </row>
    <row r="491" spans="7:20" x14ac:dyDescent="0.25">
      <c r="G491" s="7"/>
      <c r="N491" s="7"/>
      <c r="T491" s="7"/>
    </row>
    <row r="492" spans="7:20" x14ac:dyDescent="0.25">
      <c r="G492" s="7"/>
      <c r="N492" s="7"/>
      <c r="T492" s="7"/>
    </row>
    <row r="493" spans="7:20" x14ac:dyDescent="0.25">
      <c r="G493" s="7"/>
      <c r="N493" s="7"/>
      <c r="T493" s="7"/>
    </row>
    <row r="494" spans="7:20" x14ac:dyDescent="0.25">
      <c r="G494" s="7"/>
      <c r="N494" s="7"/>
      <c r="T494" s="7"/>
    </row>
    <row r="495" spans="7:20" x14ac:dyDescent="0.25">
      <c r="G495" s="7"/>
      <c r="N495" s="7"/>
      <c r="T495" s="7"/>
    </row>
    <row r="496" spans="7:20" x14ac:dyDescent="0.25">
      <c r="G496" s="7"/>
      <c r="N496" s="7"/>
      <c r="T496" s="7"/>
    </row>
    <row r="497" spans="7:20" x14ac:dyDescent="0.25">
      <c r="G497" s="7"/>
      <c r="N497" s="7"/>
      <c r="T497" s="7"/>
    </row>
    <row r="498" spans="7:20" x14ac:dyDescent="0.25">
      <c r="G498" s="7"/>
      <c r="N498" s="7"/>
      <c r="T498" s="7"/>
    </row>
    <row r="499" spans="7:20" x14ac:dyDescent="0.25">
      <c r="G499" s="7"/>
      <c r="N499" s="7"/>
      <c r="T499" s="7"/>
    </row>
    <row r="500" spans="7:20" x14ac:dyDescent="0.25">
      <c r="G500" s="7"/>
      <c r="N500" s="7"/>
      <c r="T500" s="7"/>
    </row>
    <row r="501" spans="7:20" x14ac:dyDescent="0.25">
      <c r="G501" s="7"/>
      <c r="N501" s="7"/>
      <c r="T501" s="7"/>
    </row>
    <row r="502" spans="7:20" x14ac:dyDescent="0.25">
      <c r="G502" s="7"/>
      <c r="N502" s="7"/>
      <c r="T502" s="7"/>
    </row>
    <row r="503" spans="7:20" x14ac:dyDescent="0.25">
      <c r="G503" s="7"/>
      <c r="N503" s="7"/>
      <c r="T503" s="7"/>
    </row>
    <row r="504" spans="7:20" x14ac:dyDescent="0.25">
      <c r="G504" s="7"/>
      <c r="N504" s="7"/>
      <c r="T504" s="7"/>
    </row>
    <row r="505" spans="7:20" x14ac:dyDescent="0.25">
      <c r="G505" s="7"/>
      <c r="N505" s="7"/>
      <c r="T505" s="7"/>
    </row>
    <row r="506" spans="7:20" x14ac:dyDescent="0.25">
      <c r="G506" s="7"/>
      <c r="N506" s="7"/>
      <c r="T506" s="7"/>
    </row>
    <row r="507" spans="7:20" x14ac:dyDescent="0.25">
      <c r="G507" s="7"/>
      <c r="N507" s="7"/>
      <c r="T507" s="7"/>
    </row>
    <row r="508" spans="7:20" x14ac:dyDescent="0.25">
      <c r="G508" s="7"/>
      <c r="N508" s="7"/>
      <c r="T508" s="7"/>
    </row>
    <row r="509" spans="7:20" x14ac:dyDescent="0.25">
      <c r="G509" s="7"/>
      <c r="N509" s="7"/>
      <c r="T509" s="7"/>
    </row>
    <row r="510" spans="7:20" x14ac:dyDescent="0.25">
      <c r="G510" s="7"/>
      <c r="N510" s="7"/>
      <c r="T510" s="7"/>
    </row>
    <row r="511" spans="7:20" x14ac:dyDescent="0.25">
      <c r="G511" s="7"/>
      <c r="N511" s="7"/>
      <c r="T511" s="7"/>
    </row>
    <row r="512" spans="7:20" x14ac:dyDescent="0.25">
      <c r="G512" s="7"/>
      <c r="N512" s="7"/>
      <c r="T512" s="7"/>
    </row>
    <row r="513" spans="7:20" x14ac:dyDescent="0.25">
      <c r="G513" s="7"/>
      <c r="N513" s="7"/>
      <c r="T513" s="7"/>
    </row>
    <row r="514" spans="7:20" x14ac:dyDescent="0.25">
      <c r="G514" s="7"/>
      <c r="N514" s="7"/>
      <c r="T514" s="7"/>
    </row>
    <row r="515" spans="7:20" x14ac:dyDescent="0.25">
      <c r="G515" s="7"/>
      <c r="N515" s="7"/>
      <c r="T515" s="7"/>
    </row>
    <row r="516" spans="7:20" x14ac:dyDescent="0.25">
      <c r="G516" s="7"/>
      <c r="N516" s="7"/>
      <c r="T516" s="7"/>
    </row>
    <row r="517" spans="7:20" x14ac:dyDescent="0.25">
      <c r="G517" s="7"/>
      <c r="N517" s="7"/>
      <c r="T517" s="7"/>
    </row>
    <row r="518" spans="7:20" x14ac:dyDescent="0.25">
      <c r="G518" s="7"/>
      <c r="N518" s="7"/>
      <c r="T518" s="7"/>
    </row>
    <row r="519" spans="7:20" x14ac:dyDescent="0.25">
      <c r="G519" s="7"/>
      <c r="N519" s="7"/>
      <c r="T519" s="7"/>
    </row>
    <row r="520" spans="7:20" x14ac:dyDescent="0.25">
      <c r="G520" s="7"/>
      <c r="N520" s="7"/>
      <c r="T520" s="7"/>
    </row>
    <row r="521" spans="7:20" x14ac:dyDescent="0.25">
      <c r="G521" s="7"/>
      <c r="N521" s="7"/>
      <c r="T521" s="7"/>
    </row>
    <row r="522" spans="7:20" x14ac:dyDescent="0.25">
      <c r="G522" s="7"/>
      <c r="N522" s="7"/>
      <c r="T522" s="7"/>
    </row>
    <row r="523" spans="7:20" x14ac:dyDescent="0.25">
      <c r="G523" s="7"/>
      <c r="N523" s="7"/>
      <c r="T523" s="7"/>
    </row>
    <row r="524" spans="7:20" x14ac:dyDescent="0.25">
      <c r="G524" s="7"/>
      <c r="N524" s="7"/>
      <c r="T524" s="7"/>
    </row>
    <row r="525" spans="7:20" x14ac:dyDescent="0.25">
      <c r="G525" s="7"/>
      <c r="N525" s="7"/>
      <c r="T525" s="7"/>
    </row>
    <row r="526" spans="7:20" x14ac:dyDescent="0.25">
      <c r="G526" s="7"/>
      <c r="N526" s="7"/>
      <c r="T526" s="7"/>
    </row>
    <row r="527" spans="7:20" x14ac:dyDescent="0.25">
      <c r="G527" s="7"/>
      <c r="N527" s="7"/>
      <c r="T527" s="7"/>
    </row>
    <row r="528" spans="7:20" x14ac:dyDescent="0.25">
      <c r="G528" s="7"/>
      <c r="N528" s="7"/>
      <c r="T528" s="7"/>
    </row>
    <row r="529" spans="7:20" x14ac:dyDescent="0.25">
      <c r="G529" s="7"/>
      <c r="N529" s="7"/>
      <c r="T529" s="7"/>
    </row>
    <row r="530" spans="7:20" x14ac:dyDescent="0.25">
      <c r="G530" s="7"/>
      <c r="N530" s="7"/>
      <c r="T530" s="7"/>
    </row>
    <row r="531" spans="7:20" x14ac:dyDescent="0.25">
      <c r="G531" s="7"/>
      <c r="N531" s="7"/>
      <c r="T531" s="7"/>
    </row>
    <row r="532" spans="7:20" x14ac:dyDescent="0.25">
      <c r="G532" s="7"/>
      <c r="N532" s="7"/>
      <c r="T532" s="7"/>
    </row>
    <row r="533" spans="7:20" x14ac:dyDescent="0.25">
      <c r="G533" s="7"/>
      <c r="N533" s="7"/>
      <c r="T533" s="7"/>
    </row>
    <row r="534" spans="7:20" x14ac:dyDescent="0.25">
      <c r="G534" s="7"/>
      <c r="N534" s="7"/>
      <c r="T534" s="7"/>
    </row>
    <row r="535" spans="7:20" x14ac:dyDescent="0.25">
      <c r="G535" s="10"/>
      <c r="N535" s="7"/>
      <c r="T535" s="7"/>
    </row>
    <row r="536" spans="7:20" x14ac:dyDescent="0.25">
      <c r="N536" s="7"/>
      <c r="T536" s="7"/>
    </row>
    <row r="537" spans="7:20" x14ac:dyDescent="0.25">
      <c r="N537" s="7"/>
      <c r="T537" s="7"/>
    </row>
    <row r="538" spans="7:20" x14ac:dyDescent="0.25">
      <c r="N538" s="7"/>
      <c r="T538" s="7"/>
    </row>
    <row r="539" spans="7:20" x14ac:dyDescent="0.25">
      <c r="N539" s="7"/>
      <c r="T539" s="7"/>
    </row>
    <row r="540" spans="7:20" x14ac:dyDescent="0.25">
      <c r="N540" s="7"/>
      <c r="T540" s="7"/>
    </row>
    <row r="541" spans="7:20" x14ac:dyDescent="0.25">
      <c r="N541" s="7"/>
      <c r="T541" s="7"/>
    </row>
    <row r="542" spans="7:20" x14ac:dyDescent="0.25">
      <c r="N542" s="7"/>
      <c r="T542" s="7"/>
    </row>
    <row r="543" spans="7:20" x14ac:dyDescent="0.25">
      <c r="N543" s="7"/>
      <c r="T543" s="7"/>
    </row>
    <row r="544" spans="7:20" x14ac:dyDescent="0.25">
      <c r="N544" s="7"/>
      <c r="T544" s="7"/>
    </row>
    <row r="545" spans="14:20" x14ac:dyDescent="0.25">
      <c r="N545" s="7"/>
      <c r="T545" s="7"/>
    </row>
    <row r="546" spans="14:20" x14ac:dyDescent="0.25">
      <c r="N546" s="7"/>
      <c r="T546" s="7"/>
    </row>
    <row r="547" spans="14:20" x14ac:dyDescent="0.25">
      <c r="N547" s="7"/>
      <c r="T547" s="7"/>
    </row>
    <row r="548" spans="14:20" x14ac:dyDescent="0.25">
      <c r="N548" s="7"/>
      <c r="T548" s="7"/>
    </row>
    <row r="549" spans="14:20" x14ac:dyDescent="0.25">
      <c r="N549" s="7"/>
      <c r="T549" s="7"/>
    </row>
    <row r="550" spans="14:20" x14ac:dyDescent="0.25">
      <c r="N550" s="7"/>
      <c r="T550" s="7"/>
    </row>
    <row r="551" spans="14:20" x14ac:dyDescent="0.25">
      <c r="N551" s="7"/>
      <c r="T551" s="7"/>
    </row>
    <row r="552" spans="14:20" x14ac:dyDescent="0.25">
      <c r="N552" s="7"/>
      <c r="T552" s="7"/>
    </row>
    <row r="553" spans="14:20" x14ac:dyDescent="0.25">
      <c r="N553" s="7"/>
      <c r="T553" s="7"/>
    </row>
    <row r="554" spans="14:20" x14ac:dyDescent="0.25">
      <c r="N554" s="7"/>
      <c r="T554" s="7"/>
    </row>
    <row r="555" spans="14:20" x14ac:dyDescent="0.25">
      <c r="N555" s="7"/>
      <c r="T555" s="7"/>
    </row>
    <row r="556" spans="14:20" x14ac:dyDescent="0.25">
      <c r="N556" s="7"/>
      <c r="T556" s="7"/>
    </row>
    <row r="557" spans="14:20" x14ac:dyDescent="0.25">
      <c r="N557" s="7"/>
      <c r="T557" s="7"/>
    </row>
    <row r="558" spans="14:20" x14ac:dyDescent="0.25">
      <c r="N558" s="7"/>
      <c r="T558" s="7"/>
    </row>
    <row r="559" spans="14:20" x14ac:dyDescent="0.25">
      <c r="N559" s="7"/>
      <c r="T559" s="7"/>
    </row>
    <row r="560" spans="14:20" x14ac:dyDescent="0.25">
      <c r="N560" s="7"/>
      <c r="T560" s="7"/>
    </row>
    <row r="561" spans="14:20" x14ac:dyDescent="0.25">
      <c r="N561" s="7"/>
      <c r="T561" s="7"/>
    </row>
    <row r="562" spans="14:20" x14ac:dyDescent="0.25">
      <c r="N562" s="7"/>
      <c r="T562" s="7"/>
    </row>
    <row r="563" spans="14:20" x14ac:dyDescent="0.25">
      <c r="N563" s="7"/>
      <c r="T563" s="7"/>
    </row>
    <row r="564" spans="14:20" x14ac:dyDescent="0.25">
      <c r="N564" s="7"/>
      <c r="T564" s="7"/>
    </row>
    <row r="565" spans="14:20" x14ac:dyDescent="0.25">
      <c r="N565" s="7"/>
      <c r="T565" s="7"/>
    </row>
    <row r="566" spans="14:20" x14ac:dyDescent="0.25">
      <c r="N566" s="7"/>
      <c r="T566" s="7"/>
    </row>
    <row r="567" spans="14:20" x14ac:dyDescent="0.25">
      <c r="N567" s="7"/>
      <c r="T567" s="7"/>
    </row>
    <row r="568" spans="14:20" x14ac:dyDescent="0.25">
      <c r="N568" s="7"/>
      <c r="T568" s="7"/>
    </row>
    <row r="569" spans="14:20" x14ac:dyDescent="0.25">
      <c r="N569" s="7"/>
      <c r="T569" s="7"/>
    </row>
    <row r="570" spans="14:20" x14ac:dyDescent="0.25">
      <c r="N570" s="7"/>
      <c r="T570" s="7"/>
    </row>
    <row r="571" spans="14:20" x14ac:dyDescent="0.25">
      <c r="N571" s="7"/>
      <c r="T571" s="7"/>
    </row>
    <row r="572" spans="14:20" x14ac:dyDescent="0.25">
      <c r="N572" s="7"/>
      <c r="T572" s="7"/>
    </row>
    <row r="573" spans="14:20" x14ac:dyDescent="0.25">
      <c r="N573" s="7"/>
      <c r="T573" s="7"/>
    </row>
    <row r="574" spans="14:20" x14ac:dyDescent="0.25">
      <c r="N574" s="7"/>
      <c r="T574" s="7"/>
    </row>
    <row r="575" spans="14:20" x14ac:dyDescent="0.25">
      <c r="N575" s="7"/>
      <c r="T575" s="7"/>
    </row>
    <row r="576" spans="14:20" x14ac:dyDescent="0.25">
      <c r="N576" s="7"/>
      <c r="T576" s="7"/>
    </row>
    <row r="577" spans="14:20" x14ac:dyDescent="0.25">
      <c r="N577" s="7"/>
      <c r="T577" s="7"/>
    </row>
    <row r="578" spans="14:20" x14ac:dyDescent="0.25">
      <c r="N578" s="7"/>
      <c r="T578" s="7"/>
    </row>
    <row r="579" spans="14:20" x14ac:dyDescent="0.25">
      <c r="N579" s="7"/>
      <c r="T579" s="7"/>
    </row>
    <row r="580" spans="14:20" x14ac:dyDescent="0.25">
      <c r="N580" s="7"/>
      <c r="T580" s="7"/>
    </row>
    <row r="581" spans="14:20" x14ac:dyDescent="0.25">
      <c r="N581" s="7"/>
      <c r="T581" s="7"/>
    </row>
    <row r="582" spans="14:20" x14ac:dyDescent="0.25">
      <c r="N582" s="7"/>
      <c r="T582" s="7"/>
    </row>
    <row r="583" spans="14:20" x14ac:dyDescent="0.25">
      <c r="N583" s="7"/>
      <c r="T583" s="7"/>
    </row>
    <row r="584" spans="14:20" x14ac:dyDescent="0.25">
      <c r="N584" s="7"/>
      <c r="T584" s="7"/>
    </row>
    <row r="585" spans="14:20" x14ac:dyDescent="0.25">
      <c r="N585" s="7"/>
      <c r="T585" s="7"/>
    </row>
    <row r="586" spans="14:20" x14ac:dyDescent="0.25">
      <c r="N586" s="7"/>
      <c r="T586" s="7"/>
    </row>
    <row r="587" spans="14:20" x14ac:dyDescent="0.25">
      <c r="N587" s="7"/>
      <c r="T587" s="7"/>
    </row>
    <row r="588" spans="14:20" x14ac:dyDescent="0.25">
      <c r="N588" s="7"/>
      <c r="T588" s="7"/>
    </row>
    <row r="589" spans="14:20" x14ac:dyDescent="0.25">
      <c r="N589" s="7"/>
      <c r="T589" s="7"/>
    </row>
    <row r="590" spans="14:20" x14ac:dyDescent="0.25">
      <c r="N590" s="7"/>
      <c r="T590" s="7"/>
    </row>
    <row r="591" spans="14:20" x14ac:dyDescent="0.25">
      <c r="N591" s="7"/>
    </row>
    <row r="592" spans="14:20" x14ac:dyDescent="0.25">
      <c r="N592" s="7"/>
    </row>
    <row r="593" spans="14:14" x14ac:dyDescent="0.25">
      <c r="N593" s="7"/>
    </row>
    <row r="594" spans="14:14" x14ac:dyDescent="0.25">
      <c r="N594" s="7"/>
    </row>
    <row r="595" spans="14:14" x14ac:dyDescent="0.25">
      <c r="N595" s="7"/>
    </row>
    <row r="596" spans="14:14" x14ac:dyDescent="0.25">
      <c r="N596" s="7"/>
    </row>
    <row r="597" spans="14:14" x14ac:dyDescent="0.25">
      <c r="N597" s="7"/>
    </row>
    <row r="598" spans="14:14" x14ac:dyDescent="0.25">
      <c r="N598" s="7"/>
    </row>
    <row r="599" spans="14:14" x14ac:dyDescent="0.25">
      <c r="N599" s="7"/>
    </row>
    <row r="600" spans="14:14" x14ac:dyDescent="0.25">
      <c r="N600" s="7"/>
    </row>
    <row r="601" spans="14:14" x14ac:dyDescent="0.25">
      <c r="N601" s="7"/>
    </row>
    <row r="602" spans="14:14" x14ac:dyDescent="0.25">
      <c r="N602" s="7"/>
    </row>
    <row r="603" spans="14:14" x14ac:dyDescent="0.25">
      <c r="N603" s="7"/>
    </row>
    <row r="604" spans="14:14" x14ac:dyDescent="0.25">
      <c r="N604" s="7"/>
    </row>
    <row r="605" spans="14:14" x14ac:dyDescent="0.25">
      <c r="N605" s="7"/>
    </row>
    <row r="606" spans="14:14" x14ac:dyDescent="0.25">
      <c r="N606" s="7"/>
    </row>
    <row r="607" spans="14:14" x14ac:dyDescent="0.25">
      <c r="N607" s="7"/>
    </row>
    <row r="608" spans="14:14" x14ac:dyDescent="0.25">
      <c r="N608" s="7"/>
    </row>
    <row r="609" spans="14:14" x14ac:dyDescent="0.25">
      <c r="N609" s="7"/>
    </row>
    <row r="610" spans="14:14" x14ac:dyDescent="0.25">
      <c r="N610" s="7"/>
    </row>
    <row r="611" spans="14:14" x14ac:dyDescent="0.25">
      <c r="N611" s="7"/>
    </row>
  </sheetData>
  <mergeCells count="4">
    <mergeCell ref="A1:E1"/>
    <mergeCell ref="H1:L1"/>
    <mergeCell ref="O1:S1"/>
    <mergeCell ref="A32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A1C8-5912-457C-A9BA-88EE910B95CC}">
  <dimension ref="A1:T296"/>
  <sheetViews>
    <sheetView topLeftCell="G13" zoomScale="99" workbookViewId="0">
      <selection activeCell="X11" sqref="X11"/>
    </sheetView>
  </sheetViews>
  <sheetFormatPr defaultRowHeight="15" x14ac:dyDescent="0.25"/>
  <cols>
    <col min="11" max="11" width="9.42578125" bestFit="1" customWidth="1"/>
    <col min="18" max="19" width="8.7109375" customWidth="1"/>
  </cols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K1" s="26" t="s">
        <v>22</v>
      </c>
      <c r="L1" s="26"/>
      <c r="M1" s="26"/>
      <c r="N1" s="26"/>
      <c r="O1" s="26"/>
      <c r="P1" s="26"/>
      <c r="Q1" s="26"/>
      <c r="R1" s="26"/>
      <c r="S1" s="26"/>
    </row>
    <row r="2" spans="1:20" x14ac:dyDescent="0.25">
      <c r="A2" s="7">
        <v>736.95718290805496</v>
      </c>
      <c r="B2" s="7">
        <v>406.90410439773098</v>
      </c>
      <c r="C2" s="7">
        <v>933.07638544714996</v>
      </c>
      <c r="D2" s="7">
        <v>28.4662452084034</v>
      </c>
      <c r="E2" s="7">
        <v>479.50847684499502</v>
      </c>
      <c r="F2" s="7">
        <v>323.34748813150702</v>
      </c>
      <c r="G2" s="7">
        <v>1243.90213319793</v>
      </c>
      <c r="H2" s="7">
        <v>572.53685922140596</v>
      </c>
      <c r="I2" s="7">
        <v>607.31099778364705</v>
      </c>
      <c r="K2" s="17">
        <v>2.5524580392834371E-2</v>
      </c>
      <c r="L2" s="17">
        <v>0.16171040538391793</v>
      </c>
      <c r="M2" s="17">
        <v>4.8177359514178474E-2</v>
      </c>
      <c r="N2" s="17">
        <v>0.1184919903928333</v>
      </c>
      <c r="O2" s="17">
        <v>0.26881369873144928</v>
      </c>
      <c r="P2" s="17">
        <v>5.8899040393555833E-2</v>
      </c>
      <c r="Q2" s="17">
        <v>0.21165740954540746</v>
      </c>
      <c r="R2" s="17">
        <v>8.4436802853783799E-2</v>
      </c>
      <c r="S2" s="17">
        <v>2.2255975295537252E-2</v>
      </c>
    </row>
    <row r="3" spans="1:20" x14ac:dyDescent="0.25">
      <c r="A3" s="7">
        <v>398.99441174229901</v>
      </c>
      <c r="B3" s="7">
        <v>627.84241762556906</v>
      </c>
      <c r="C3" s="7">
        <v>980.13121352279302</v>
      </c>
      <c r="D3" s="7">
        <v>108.934545495346</v>
      </c>
      <c r="E3" s="7">
        <v>120.27253230555</v>
      </c>
      <c r="F3" s="7">
        <v>171.534266703985</v>
      </c>
      <c r="G3" s="7">
        <v>793.54915762020596</v>
      </c>
      <c r="H3" s="7">
        <v>456.821330026574</v>
      </c>
      <c r="I3" s="7">
        <v>222.24139820382899</v>
      </c>
      <c r="K3" s="18">
        <f>K2*100</f>
        <v>2.5524580392834371</v>
      </c>
      <c r="L3" s="18">
        <f t="shared" ref="L3:S3" si="0">L2*100</f>
        <v>16.171040538391793</v>
      </c>
      <c r="M3" s="18">
        <f t="shared" si="0"/>
        <v>4.8177359514178475</v>
      </c>
      <c r="N3" s="18">
        <f t="shared" si="0"/>
        <v>11.849199039283329</v>
      </c>
      <c r="O3" s="18">
        <f t="shared" si="0"/>
        <v>26.881369873144926</v>
      </c>
      <c r="P3" s="18">
        <f t="shared" si="0"/>
        <v>5.8899040393555833</v>
      </c>
      <c r="Q3" s="18">
        <f t="shared" si="0"/>
        <v>21.165740954540745</v>
      </c>
      <c r="R3" s="18">
        <f t="shared" si="0"/>
        <v>8.4436802853783792</v>
      </c>
      <c r="S3" s="18">
        <f t="shared" si="0"/>
        <v>2.2255975295537254</v>
      </c>
    </row>
    <row r="4" spans="1:20" x14ac:dyDescent="0.25">
      <c r="A4" s="7">
        <v>550.33783904936797</v>
      </c>
      <c r="B4" s="7">
        <v>115.903436444058</v>
      </c>
      <c r="C4" s="7">
        <v>2130.6040466656</v>
      </c>
      <c r="D4" s="7">
        <v>1043.3126444086799</v>
      </c>
      <c r="E4" s="7">
        <v>1044.48159846205</v>
      </c>
      <c r="F4" s="7">
        <v>415.11244800854303</v>
      </c>
      <c r="G4" s="7">
        <v>1449.6064944644099</v>
      </c>
      <c r="H4" s="7">
        <v>276.40448244829201</v>
      </c>
      <c r="I4" s="7">
        <v>375.63948179575902</v>
      </c>
      <c r="K4" s="26" t="s">
        <v>20</v>
      </c>
      <c r="L4" s="26"/>
      <c r="M4" s="26"/>
      <c r="N4" s="26"/>
      <c r="O4" s="26"/>
      <c r="P4" s="26"/>
      <c r="Q4" s="26"/>
      <c r="R4" s="26"/>
      <c r="S4" s="26"/>
    </row>
    <row r="5" spans="1:20" x14ac:dyDescent="0.25">
      <c r="A5" s="7">
        <v>673.10559729358397</v>
      </c>
      <c r="B5" s="7">
        <v>926.37081924318795</v>
      </c>
      <c r="C5" s="7">
        <v>828.93097048246102</v>
      </c>
      <c r="D5" s="7">
        <v>618.10716958866794</v>
      </c>
      <c r="E5" s="7">
        <v>420.70705425902901</v>
      </c>
      <c r="F5" s="7">
        <v>694.26307511893594</v>
      </c>
      <c r="G5" s="7">
        <v>26.9878068724115</v>
      </c>
      <c r="H5" s="7">
        <v>192.62680627665699</v>
      </c>
      <c r="I5" s="7">
        <v>357.01736613988601</v>
      </c>
      <c r="K5" s="17">
        <v>4.1273180523450088E-2</v>
      </c>
      <c r="L5" s="17">
        <v>0.26020554370103854</v>
      </c>
      <c r="M5" s="17">
        <v>7.7505182320847896E-2</v>
      </c>
      <c r="N5" s="17">
        <v>0.1826892858171604</v>
      </c>
      <c r="O5" s="17">
        <v>0.27262023128706048</v>
      </c>
      <c r="P5" s="17">
        <v>8.6724436294279544E-3</v>
      </c>
      <c r="Q5" s="17">
        <v>0.13018376172266494</v>
      </c>
      <c r="R5" s="17">
        <v>2.1204825937082637E-2</v>
      </c>
      <c r="S5" s="17">
        <v>5.6455450612671381E-3</v>
      </c>
      <c r="T5" s="13"/>
    </row>
    <row r="6" spans="1:20" x14ac:dyDescent="0.25">
      <c r="A6" s="7">
        <v>983.86841901996104</v>
      </c>
      <c r="B6" s="7">
        <v>320.36128730871002</v>
      </c>
      <c r="C6" s="7">
        <v>681.501968055887</v>
      </c>
      <c r="D6" s="7">
        <v>656.95093435167405</v>
      </c>
      <c r="E6" s="7">
        <v>434.30322557484402</v>
      </c>
      <c r="F6" s="7">
        <v>278.15186997288902</v>
      </c>
      <c r="G6" s="7">
        <v>138.35534902701301</v>
      </c>
      <c r="H6" s="7">
        <v>806.61083470680205</v>
      </c>
      <c r="I6" s="7">
        <v>1617.5829329759899</v>
      </c>
      <c r="K6" s="19">
        <f>K5*100</f>
        <v>4.127318052345009</v>
      </c>
      <c r="L6" s="19">
        <f t="shared" ref="L6:S6" si="1">L5*100</f>
        <v>26.020554370103856</v>
      </c>
      <c r="M6" s="19">
        <f t="shared" si="1"/>
        <v>7.7505182320847892</v>
      </c>
      <c r="N6" s="19">
        <f t="shared" si="1"/>
        <v>18.26892858171604</v>
      </c>
      <c r="O6" s="19">
        <f t="shared" si="1"/>
        <v>27.262023128706048</v>
      </c>
      <c r="P6" s="19">
        <f t="shared" si="1"/>
        <v>0.86724436294279539</v>
      </c>
      <c r="Q6" s="19">
        <f t="shared" si="1"/>
        <v>13.018376172266494</v>
      </c>
      <c r="R6" s="19">
        <f t="shared" si="1"/>
        <v>2.1204825937082639</v>
      </c>
      <c r="S6" s="19">
        <f t="shared" si="1"/>
        <v>0.56455450612671376</v>
      </c>
    </row>
    <row r="7" spans="1:20" x14ac:dyDescent="0.25">
      <c r="A7" s="7">
        <v>907.70219608981301</v>
      </c>
      <c r="B7" s="7">
        <v>1202.7173129248999</v>
      </c>
      <c r="C7" s="7">
        <v>362.37418202043801</v>
      </c>
      <c r="D7" s="7">
        <v>152.313842601907</v>
      </c>
      <c r="E7" s="7">
        <v>583.02486161699505</v>
      </c>
      <c r="F7" s="7">
        <v>131.511021484368</v>
      </c>
      <c r="G7" s="7">
        <v>722.57353472476996</v>
      </c>
      <c r="H7" s="7">
        <v>411.07108413438601</v>
      </c>
      <c r="I7" s="7">
        <v>894.95747966607905</v>
      </c>
      <c r="K7" s="27" t="s">
        <v>21</v>
      </c>
      <c r="L7" s="28"/>
      <c r="M7" s="28"/>
      <c r="N7" s="28"/>
      <c r="O7" s="28"/>
      <c r="P7" s="28"/>
      <c r="Q7" s="28"/>
      <c r="R7" s="28"/>
      <c r="S7" s="29"/>
    </row>
    <row r="8" spans="1:20" x14ac:dyDescent="0.25">
      <c r="A8" s="7">
        <v>620.89356554051096</v>
      </c>
      <c r="B8" s="7">
        <v>645.09883439709404</v>
      </c>
      <c r="C8" s="7">
        <v>840.10723667181696</v>
      </c>
      <c r="D8" s="7">
        <v>1323.4522178217601</v>
      </c>
      <c r="E8" s="7">
        <v>1223.1925640094701</v>
      </c>
      <c r="F8" s="7">
        <v>1246.1946443316299</v>
      </c>
      <c r="G8" s="7">
        <v>2133.07147908773</v>
      </c>
      <c r="H8" s="7">
        <v>897.41061926036002</v>
      </c>
      <c r="I8" s="7">
        <v>399.49506278144003</v>
      </c>
      <c r="K8" s="17">
        <v>3.1660882265856526E-3</v>
      </c>
      <c r="L8" s="17">
        <v>2.1891015428375144E-2</v>
      </c>
      <c r="M8" s="17">
        <v>6.5361711539636954E-3</v>
      </c>
      <c r="N8" s="17">
        <v>2.7350570384789892E-2</v>
      </c>
      <c r="O8" s="17">
        <v>0.26339231305772909</v>
      </c>
      <c r="P8" s="17">
        <v>0.13017313222290711</v>
      </c>
      <c r="Q8" s="17">
        <v>0.32728253841532279</v>
      </c>
      <c r="R8" s="17">
        <v>0.17440652373331222</v>
      </c>
      <c r="S8" s="17">
        <v>4.5801647377014421E-2</v>
      </c>
    </row>
    <row r="9" spans="1:20" x14ac:dyDescent="0.25">
      <c r="A9" s="7">
        <v>926.08703295267605</v>
      </c>
      <c r="B9" s="7">
        <v>557.96053186514905</v>
      </c>
      <c r="C9" s="7">
        <v>719.45587909624805</v>
      </c>
      <c r="D9" s="7">
        <v>457.77991163061802</v>
      </c>
      <c r="E9" s="7">
        <v>318.53529563008101</v>
      </c>
      <c r="F9" s="7">
        <v>600.49719296597095</v>
      </c>
      <c r="G9" s="7">
        <v>659.15837792001605</v>
      </c>
      <c r="H9" s="7">
        <v>238.974491771251</v>
      </c>
      <c r="I9" s="7">
        <v>639.13847456069402</v>
      </c>
      <c r="K9" s="19">
        <f>K8*100</f>
        <v>0.31660882265856527</v>
      </c>
      <c r="L9" s="19">
        <f t="shared" ref="L9:S9" si="2">L8*100</f>
        <v>2.1891015428375145</v>
      </c>
      <c r="M9" s="19">
        <f t="shared" si="2"/>
        <v>0.65361711539636957</v>
      </c>
      <c r="N9" s="19">
        <f t="shared" si="2"/>
        <v>2.7350570384789892</v>
      </c>
      <c r="O9" s="19">
        <f t="shared" si="2"/>
        <v>26.339231305772909</v>
      </c>
      <c r="P9" s="19">
        <f t="shared" si="2"/>
        <v>13.01731322229071</v>
      </c>
      <c r="Q9" s="19">
        <f t="shared" si="2"/>
        <v>32.728253841532279</v>
      </c>
      <c r="R9" s="19">
        <f t="shared" si="2"/>
        <v>17.440652373331222</v>
      </c>
      <c r="S9" s="19">
        <f t="shared" si="2"/>
        <v>4.5801647377014421</v>
      </c>
      <c r="T9" s="15"/>
    </row>
    <row r="10" spans="1:20" x14ac:dyDescent="0.25">
      <c r="A10" s="7">
        <v>658.17829461202996</v>
      </c>
      <c r="B10" s="7">
        <v>393.00532613864902</v>
      </c>
      <c r="C10" s="7">
        <v>587.88340213047104</v>
      </c>
      <c r="D10" s="7">
        <v>112.86492585339801</v>
      </c>
      <c r="E10" s="7">
        <v>343.14677280435001</v>
      </c>
      <c r="F10" s="7">
        <v>392.46558596616302</v>
      </c>
      <c r="G10" s="7">
        <v>580.66592444510695</v>
      </c>
      <c r="H10" s="7">
        <v>1062.6379834623699</v>
      </c>
      <c r="I10" s="7">
        <v>97.309656312558403</v>
      </c>
    </row>
    <row r="11" spans="1:20" x14ac:dyDescent="0.25">
      <c r="A11" s="7">
        <v>1034.55119986504</v>
      </c>
      <c r="B11" s="7">
        <v>1556.75487555771</v>
      </c>
      <c r="C11" s="7">
        <v>635.076636307841</v>
      </c>
      <c r="D11" s="7">
        <v>784.02050228139797</v>
      </c>
      <c r="E11" s="7">
        <v>614.63490190070797</v>
      </c>
      <c r="F11" s="7">
        <v>514.48579351041803</v>
      </c>
      <c r="G11" s="7">
        <v>26.269039938607399</v>
      </c>
      <c r="H11" s="7">
        <v>1666.1075021971201</v>
      </c>
      <c r="I11" s="7">
        <v>1033.1195023736</v>
      </c>
    </row>
    <row r="12" spans="1:20" x14ac:dyDescent="0.25">
      <c r="A12" s="7">
        <v>727.10029660139503</v>
      </c>
      <c r="B12" s="7">
        <v>1374.44862490431</v>
      </c>
      <c r="C12" s="7">
        <v>532.96544345682105</v>
      </c>
      <c r="D12" s="7">
        <v>519.27722341361402</v>
      </c>
      <c r="E12" s="7">
        <v>1370.19725929946</v>
      </c>
      <c r="F12" s="7">
        <v>981.68231608368001</v>
      </c>
      <c r="G12" s="7">
        <v>81.600866867039997</v>
      </c>
      <c r="H12" s="7">
        <v>366.14093142184902</v>
      </c>
      <c r="I12" s="7">
        <v>690.02287591835795</v>
      </c>
    </row>
    <row r="13" spans="1:20" x14ac:dyDescent="0.25">
      <c r="A13" s="7">
        <v>723.85608453378404</v>
      </c>
      <c r="B13" s="7">
        <v>781.10086983984195</v>
      </c>
      <c r="C13" s="7">
        <v>1620.20553330383</v>
      </c>
      <c r="D13" s="7">
        <v>505.46007591107002</v>
      </c>
      <c r="E13" s="7">
        <v>823.624477922913</v>
      </c>
      <c r="F13" s="7">
        <v>1739.1094909917699</v>
      </c>
      <c r="G13" s="7">
        <v>191.76652435284501</v>
      </c>
      <c r="H13" s="7">
        <v>547.05535433971602</v>
      </c>
      <c r="I13" s="7">
        <v>128.45401939376501</v>
      </c>
    </row>
    <row r="14" spans="1:20" x14ac:dyDescent="0.25">
      <c r="A14" s="7">
        <v>875.46736027033705</v>
      </c>
      <c r="B14" s="7">
        <v>687.87431194170301</v>
      </c>
      <c r="C14" s="7">
        <v>511.29785953866201</v>
      </c>
      <c r="D14" s="7">
        <v>303.48175354670502</v>
      </c>
      <c r="E14" s="7">
        <v>373.22145769427601</v>
      </c>
      <c r="F14" s="7">
        <v>966.17658738307603</v>
      </c>
      <c r="G14" s="7">
        <v>929.88506111306197</v>
      </c>
      <c r="H14" s="7">
        <v>634.71873665476801</v>
      </c>
      <c r="I14" s="7">
        <v>482.786739686825</v>
      </c>
      <c r="L14" t="s">
        <v>25</v>
      </c>
      <c r="M14" t="s">
        <v>33</v>
      </c>
      <c r="O14">
        <v>4.1000000000000002E-2</v>
      </c>
    </row>
    <row r="15" spans="1:20" x14ac:dyDescent="0.25">
      <c r="A15" s="7">
        <v>459.73821153829402</v>
      </c>
      <c r="B15" s="7">
        <v>661.36818823649105</v>
      </c>
      <c r="C15" s="7">
        <v>352.32941853253902</v>
      </c>
      <c r="D15" s="7">
        <v>495.26951848478097</v>
      </c>
      <c r="E15" s="7">
        <v>472.28641171125702</v>
      </c>
      <c r="F15" s="7">
        <v>424.36899539825401</v>
      </c>
      <c r="G15" s="7">
        <v>91.741886162332904</v>
      </c>
      <c r="H15" s="7">
        <v>461.58521940419001</v>
      </c>
      <c r="I15" s="7">
        <v>570.56248270100002</v>
      </c>
      <c r="M15" t="s">
        <v>34</v>
      </c>
      <c r="O15">
        <v>0.26</v>
      </c>
    </row>
    <row r="16" spans="1:20" x14ac:dyDescent="0.25">
      <c r="A16" s="7">
        <v>696.04184808183595</v>
      </c>
      <c r="B16" s="7">
        <v>597.45037110598196</v>
      </c>
      <c r="C16" s="7">
        <v>987.75413953897805</v>
      </c>
      <c r="D16" s="7">
        <v>474.39862316494401</v>
      </c>
      <c r="E16" s="7">
        <v>936.19999607462398</v>
      </c>
      <c r="F16" s="7">
        <v>648.16117037215895</v>
      </c>
      <c r="G16" s="7">
        <v>120.467207413666</v>
      </c>
      <c r="H16" s="7">
        <v>267.68350225081201</v>
      </c>
      <c r="I16" s="7">
        <v>812.71662369950297</v>
      </c>
      <c r="M16" t="s">
        <v>35</v>
      </c>
      <c r="O16">
        <v>7.8E-2</v>
      </c>
    </row>
    <row r="17" spans="1:15" x14ac:dyDescent="0.25">
      <c r="A17" s="7">
        <v>671.40004518990895</v>
      </c>
      <c r="B17" s="7">
        <v>453.46882029647497</v>
      </c>
      <c r="C17" s="7">
        <v>573.20623299134104</v>
      </c>
      <c r="D17" s="7">
        <v>397.35322245373601</v>
      </c>
      <c r="E17" s="7">
        <v>247.34996502331501</v>
      </c>
      <c r="F17" s="7">
        <v>486.59644922196702</v>
      </c>
      <c r="G17" s="7">
        <v>330.26254684205003</v>
      </c>
      <c r="H17" s="7">
        <v>691.14951016694897</v>
      </c>
      <c r="I17" s="7">
        <v>2.9434124646759798</v>
      </c>
      <c r="M17" t="s">
        <v>27</v>
      </c>
      <c r="O17">
        <v>0.183</v>
      </c>
    </row>
    <row r="18" spans="1:15" x14ac:dyDescent="0.25">
      <c r="A18" s="7">
        <v>345.761089803716</v>
      </c>
      <c r="B18" s="7">
        <v>468.29391572620102</v>
      </c>
      <c r="C18" s="7">
        <v>408.55338306930901</v>
      </c>
      <c r="D18" s="7">
        <v>596.80681681237195</v>
      </c>
      <c r="E18" s="7">
        <v>1003.51954782698</v>
      </c>
      <c r="F18" s="7">
        <v>217.62064692651501</v>
      </c>
      <c r="G18" s="7">
        <v>463.01798466317302</v>
      </c>
      <c r="H18" s="7">
        <v>352.99413528447002</v>
      </c>
      <c r="I18" s="7">
        <v>128.45401939376501</v>
      </c>
      <c r="M18" t="s">
        <v>28</v>
      </c>
      <c r="O18">
        <v>0.27300000000000002</v>
      </c>
    </row>
    <row r="19" spans="1:15" x14ac:dyDescent="0.25">
      <c r="A19" s="7">
        <v>353.18263761691998</v>
      </c>
      <c r="B19" s="7">
        <v>774.92138876313595</v>
      </c>
      <c r="C19" s="7">
        <v>562.60364431380901</v>
      </c>
      <c r="D19" s="7">
        <v>668.40600567850004</v>
      </c>
      <c r="E19" s="7">
        <v>29.6975359600067</v>
      </c>
      <c r="F19" s="7">
        <v>811.98290277599995</v>
      </c>
      <c r="G19" s="7">
        <v>1381.3343732896601</v>
      </c>
      <c r="H19" s="7">
        <v>154.16118517380801</v>
      </c>
      <c r="I19" s="7">
        <v>624.82721240334797</v>
      </c>
      <c r="M19" t="s">
        <v>29</v>
      </c>
      <c r="O19">
        <v>8.9999999999999993E-3</v>
      </c>
    </row>
    <row r="20" spans="1:15" x14ac:dyDescent="0.25">
      <c r="A20" s="7">
        <v>182.376581242469</v>
      </c>
      <c r="B20" s="7">
        <v>105.683098729855</v>
      </c>
      <c r="C20" s="7">
        <v>425.42655611707602</v>
      </c>
      <c r="D20" s="7">
        <v>512.98302360726302</v>
      </c>
      <c r="E20" s="7">
        <v>412.070626641947</v>
      </c>
      <c r="F20" s="7">
        <v>242.76972012627201</v>
      </c>
      <c r="G20" s="7">
        <v>219.671914176776</v>
      </c>
      <c r="H20" s="7">
        <v>616.14728385811804</v>
      </c>
      <c r="I20" s="7">
        <v>764.05917906486297</v>
      </c>
      <c r="M20" t="s">
        <v>30</v>
      </c>
      <c r="O20">
        <v>0.13</v>
      </c>
    </row>
    <row r="21" spans="1:15" x14ac:dyDescent="0.25">
      <c r="A21" s="7">
        <v>13.4554312195755</v>
      </c>
      <c r="B21" s="7">
        <v>544.83322930682004</v>
      </c>
      <c r="C21" s="7">
        <v>554.06367398089503</v>
      </c>
      <c r="D21" s="7">
        <v>529.26855744473005</v>
      </c>
      <c r="E21" s="7">
        <v>28.849034932577901</v>
      </c>
      <c r="F21" s="7">
        <v>460.567775913096</v>
      </c>
      <c r="G21" s="7">
        <v>1442.84185563456</v>
      </c>
      <c r="H21" s="7">
        <v>701.94728943298503</v>
      </c>
      <c r="I21" s="7">
        <v>325.30918889281202</v>
      </c>
      <c r="M21" t="s">
        <v>31</v>
      </c>
      <c r="O21">
        <v>2.1000000000000001E-2</v>
      </c>
    </row>
    <row r="22" spans="1:15" x14ac:dyDescent="0.25">
      <c r="A22" s="7">
        <v>555.47390353922106</v>
      </c>
      <c r="B22" s="7">
        <v>1264.0979116118499</v>
      </c>
      <c r="C22" s="7">
        <v>575.43887735407498</v>
      </c>
      <c r="D22" s="7">
        <v>616.59229309587204</v>
      </c>
      <c r="E22" s="7">
        <v>461.94618401711801</v>
      </c>
      <c r="F22" s="7">
        <v>728.18195719402695</v>
      </c>
      <c r="G22" s="7">
        <v>880.29119118703204</v>
      </c>
      <c r="H22" s="7">
        <v>130.96406371762299</v>
      </c>
      <c r="I22" s="7">
        <v>870.93704851385905</v>
      </c>
      <c r="M22" t="s">
        <v>32</v>
      </c>
      <c r="O22">
        <v>6.0000000000000001E-3</v>
      </c>
    </row>
    <row r="23" spans="1:15" x14ac:dyDescent="0.25">
      <c r="A23" s="7">
        <v>478.26040585443201</v>
      </c>
      <c r="B23" s="7">
        <v>116.897656098468</v>
      </c>
      <c r="C23" s="7">
        <v>497.00201254040002</v>
      </c>
      <c r="D23" s="7">
        <v>991.36533512081405</v>
      </c>
      <c r="E23" s="7">
        <v>1034.6253240887399</v>
      </c>
      <c r="F23" s="7">
        <v>903.25981479592997</v>
      </c>
      <c r="G23" s="7">
        <v>358.33951593856602</v>
      </c>
      <c r="H23" s="7">
        <v>19.669796544939501</v>
      </c>
      <c r="I23" s="7">
        <v>296.98556551499303</v>
      </c>
      <c r="L23" t="s">
        <v>24</v>
      </c>
      <c r="M23" t="s">
        <v>33</v>
      </c>
      <c r="O23">
        <v>3.0000000000000001E-3</v>
      </c>
    </row>
    <row r="24" spans="1:15" x14ac:dyDescent="0.25">
      <c r="A24" s="7">
        <v>1527.8154762709601</v>
      </c>
      <c r="B24" s="7">
        <v>514.36946943783096</v>
      </c>
      <c r="C24" s="7">
        <v>676.33585849018004</v>
      </c>
      <c r="D24" s="7">
        <v>1697.6344072484101</v>
      </c>
      <c r="E24" s="7">
        <v>455.43577905942902</v>
      </c>
      <c r="F24" s="7">
        <v>408.26594079071401</v>
      </c>
      <c r="G24" s="7">
        <v>328.38064899920403</v>
      </c>
      <c r="H24" s="7">
        <v>687.33513603030497</v>
      </c>
      <c r="I24" s="7">
        <v>961.03055190695397</v>
      </c>
      <c r="M24" t="s">
        <v>34</v>
      </c>
      <c r="O24">
        <v>2.1999999999999999E-2</v>
      </c>
    </row>
    <row r="25" spans="1:15" x14ac:dyDescent="0.25">
      <c r="A25" s="7">
        <v>726.910611854546</v>
      </c>
      <c r="B25" s="7">
        <v>791.96164942293001</v>
      </c>
      <c r="C25" s="7">
        <v>284.18781434704402</v>
      </c>
      <c r="D25" s="7">
        <v>880.64575217293896</v>
      </c>
      <c r="E25" s="7">
        <v>1307.09227339067</v>
      </c>
      <c r="F25" s="7">
        <v>426.57190638195601</v>
      </c>
      <c r="G25" s="7">
        <v>1193.9315847451701</v>
      </c>
      <c r="H25" s="7">
        <v>36.9473505913544</v>
      </c>
      <c r="I25" s="7">
        <v>390.331636866574</v>
      </c>
      <c r="M25" t="s">
        <v>35</v>
      </c>
      <c r="O25">
        <v>7.0000000000000001E-3</v>
      </c>
    </row>
    <row r="26" spans="1:15" x14ac:dyDescent="0.25">
      <c r="A26" s="7">
        <v>1247.95419674749</v>
      </c>
      <c r="B26" s="7">
        <v>1069.4126352936801</v>
      </c>
      <c r="C26" s="7">
        <v>1103.83550871337</v>
      </c>
      <c r="D26" s="7">
        <v>989.43421147835602</v>
      </c>
      <c r="E26" s="7">
        <v>1609.5856657076399</v>
      </c>
      <c r="F26" s="7">
        <v>813.76076877853802</v>
      </c>
      <c r="G26" s="7">
        <v>92.377684456550796</v>
      </c>
      <c r="H26" s="7">
        <v>132.95510363128301</v>
      </c>
      <c r="I26" s="7">
        <v>659.79854936837205</v>
      </c>
      <c r="M26" t="s">
        <v>27</v>
      </c>
      <c r="O26">
        <v>2.7E-2</v>
      </c>
    </row>
    <row r="27" spans="1:15" x14ac:dyDescent="0.25">
      <c r="B27" s="7">
        <v>1254.8731191395</v>
      </c>
      <c r="C27" s="7">
        <v>527.21412819550301</v>
      </c>
      <c r="D27" s="7">
        <v>591.69554134995406</v>
      </c>
      <c r="E27" s="7">
        <v>128.33462104681701</v>
      </c>
      <c r="F27" s="7">
        <v>213.86800516427999</v>
      </c>
      <c r="G27" s="7">
        <v>86.480916824856493</v>
      </c>
      <c r="H27" s="7">
        <v>504.31580244186802</v>
      </c>
      <c r="I27" s="7">
        <v>203.529737262347</v>
      </c>
      <c r="M27" t="s">
        <v>28</v>
      </c>
      <c r="O27">
        <v>0.26300000000000001</v>
      </c>
    </row>
    <row r="28" spans="1:15" x14ac:dyDescent="0.25">
      <c r="B28" s="7">
        <v>644.15962829455395</v>
      </c>
      <c r="C28" s="7">
        <v>772.60254245942394</v>
      </c>
      <c r="D28" s="7">
        <v>30.9772424276041</v>
      </c>
      <c r="E28" s="7">
        <v>427.395490090647</v>
      </c>
      <c r="F28" s="7">
        <v>586.27239671279006</v>
      </c>
      <c r="G28" s="7">
        <v>263.33808592857002</v>
      </c>
      <c r="H28" s="7">
        <v>1066.3101378295401</v>
      </c>
      <c r="I28" s="7">
        <v>27.346481029839399</v>
      </c>
      <c r="M28" t="s">
        <v>29</v>
      </c>
      <c r="O28">
        <v>0.13</v>
      </c>
    </row>
    <row r="29" spans="1:15" x14ac:dyDescent="0.25">
      <c r="B29" s="7">
        <v>161.80039513043499</v>
      </c>
      <c r="C29" s="7">
        <v>920.98336907041801</v>
      </c>
      <c r="D29" s="7">
        <v>686.784256969843</v>
      </c>
      <c r="E29" s="7">
        <v>381.196323803072</v>
      </c>
      <c r="F29" s="7">
        <v>452.93932413813701</v>
      </c>
      <c r="G29" s="7">
        <v>588.12797260281502</v>
      </c>
      <c r="H29" s="7">
        <v>134.819581764746</v>
      </c>
      <c r="I29" s="7">
        <v>125.862954537568</v>
      </c>
      <c r="M29" t="s">
        <v>30</v>
      </c>
      <c r="O29">
        <v>0.32700000000000001</v>
      </c>
    </row>
    <row r="30" spans="1:15" x14ac:dyDescent="0.25">
      <c r="B30" s="7">
        <v>27.0872618069242</v>
      </c>
      <c r="C30" s="7">
        <v>697.69245566250402</v>
      </c>
      <c r="D30" s="7">
        <v>918.30767500568595</v>
      </c>
      <c r="E30" s="7">
        <v>542.89753686404595</v>
      </c>
      <c r="F30" s="7">
        <v>421.15724942900601</v>
      </c>
      <c r="G30" s="7">
        <v>1104.0132477632101</v>
      </c>
      <c r="H30" s="7">
        <v>841.93939982414997</v>
      </c>
      <c r="I30" s="7">
        <v>221.24432905318</v>
      </c>
      <c r="M30" t="s">
        <v>31</v>
      </c>
      <c r="O30">
        <v>0.17399999999999999</v>
      </c>
    </row>
    <row r="31" spans="1:15" x14ac:dyDescent="0.25">
      <c r="B31" s="7">
        <v>191.09541741229501</v>
      </c>
      <c r="C31" s="7">
        <v>1192.16270369074</v>
      </c>
      <c r="D31" s="7">
        <v>455.21693538420902</v>
      </c>
      <c r="E31" s="7">
        <v>1050.67887618741</v>
      </c>
      <c r="F31" s="7">
        <v>71.508427917374405</v>
      </c>
      <c r="G31" s="7">
        <v>566.01704153456603</v>
      </c>
      <c r="H31" s="7">
        <v>769.56406480545195</v>
      </c>
      <c r="I31" s="10">
        <v>349.690837549744</v>
      </c>
      <c r="M31" t="s">
        <v>32</v>
      </c>
      <c r="O31">
        <v>4.5999999999999999E-2</v>
      </c>
    </row>
    <row r="32" spans="1:15" x14ac:dyDescent="0.25">
      <c r="B32" s="7">
        <v>1124.5833357551601</v>
      </c>
      <c r="C32" s="7">
        <v>1054.5632933141001</v>
      </c>
      <c r="D32" s="7">
        <v>642.52504453888002</v>
      </c>
      <c r="E32" s="7">
        <v>381.40910419263002</v>
      </c>
      <c r="F32" s="7">
        <v>889.49204674003704</v>
      </c>
      <c r="G32" s="7">
        <v>427.20634782217701</v>
      </c>
      <c r="H32" s="7">
        <v>316.68530618520202</v>
      </c>
    </row>
    <row r="33" spans="2:8" x14ac:dyDescent="0.25">
      <c r="B33" s="7">
        <v>136.572092660089</v>
      </c>
      <c r="C33" s="7">
        <v>854.71756107760496</v>
      </c>
      <c r="D33" s="7">
        <v>715.11765203841401</v>
      </c>
      <c r="E33" s="7">
        <v>1400.47003804479</v>
      </c>
      <c r="F33" s="7">
        <v>879.21075547179305</v>
      </c>
      <c r="G33" s="7">
        <v>169.46051140489899</v>
      </c>
      <c r="H33" s="7">
        <v>410.88348475732801</v>
      </c>
    </row>
    <row r="34" spans="2:8" x14ac:dyDescent="0.25">
      <c r="B34" s="7">
        <v>666.36415931286797</v>
      </c>
      <c r="C34" s="7">
        <v>569.55739527954597</v>
      </c>
      <c r="D34" s="7">
        <v>177.54965676251001</v>
      </c>
      <c r="E34" s="7">
        <v>26.269039938607399</v>
      </c>
      <c r="F34" s="7">
        <v>707.12298562242495</v>
      </c>
      <c r="G34" s="7">
        <v>519.15895208238396</v>
      </c>
      <c r="H34" s="7">
        <v>410.90162416052601</v>
      </c>
    </row>
    <row r="35" spans="2:8" x14ac:dyDescent="0.25">
      <c r="B35" s="7">
        <v>1263.04584813219</v>
      </c>
      <c r="C35" s="7">
        <v>374.759660512945</v>
      </c>
      <c r="D35" s="7">
        <v>933.03767171997401</v>
      </c>
      <c r="E35" s="7">
        <v>948.33091008396798</v>
      </c>
      <c r="F35" s="7">
        <v>649.89296559837805</v>
      </c>
      <c r="G35" s="7">
        <v>1022.38665653089</v>
      </c>
      <c r="H35" s="7">
        <v>308.97330173938701</v>
      </c>
    </row>
    <row r="36" spans="2:8" x14ac:dyDescent="0.25">
      <c r="B36" s="7">
        <v>1671.16771917814</v>
      </c>
      <c r="C36" s="7">
        <v>442.43045377172302</v>
      </c>
      <c r="D36" s="7">
        <v>500.52594365650702</v>
      </c>
      <c r="E36" s="7">
        <v>1019.31218114622</v>
      </c>
      <c r="F36" s="7">
        <v>259.62078843398803</v>
      </c>
      <c r="G36" s="7">
        <v>585.04412964611595</v>
      </c>
      <c r="H36" s="7">
        <v>36.9473505913544</v>
      </c>
    </row>
    <row r="37" spans="2:8" x14ac:dyDescent="0.25">
      <c r="B37" s="7">
        <v>1365.06347171689</v>
      </c>
      <c r="C37" s="7">
        <v>815.78697168480096</v>
      </c>
      <c r="D37" s="7">
        <v>1101.89136662342</v>
      </c>
      <c r="E37" s="7">
        <v>131.79927686104099</v>
      </c>
      <c r="F37" s="7">
        <v>511.59163565028501</v>
      </c>
      <c r="G37" s="7">
        <v>97.304405648039705</v>
      </c>
      <c r="H37" s="7">
        <v>526.65730011386995</v>
      </c>
    </row>
    <row r="38" spans="2:8" x14ac:dyDescent="0.25">
      <c r="B38" s="7">
        <v>582.09504116501205</v>
      </c>
      <c r="C38" s="7">
        <v>778.44481959848804</v>
      </c>
      <c r="D38" s="7">
        <v>1008.6013630034701</v>
      </c>
      <c r="E38" s="7">
        <v>317.31664345130702</v>
      </c>
      <c r="F38" s="7">
        <v>217.605543661269</v>
      </c>
      <c r="G38" s="7">
        <v>740.40369501911505</v>
      </c>
      <c r="H38" s="7">
        <v>621.82849805461296</v>
      </c>
    </row>
    <row r="39" spans="2:8" x14ac:dyDescent="0.25">
      <c r="B39" s="7">
        <v>113.104447637877</v>
      </c>
      <c r="C39" s="7">
        <v>929.16041552426395</v>
      </c>
      <c r="D39" s="7">
        <v>471.98320525901102</v>
      </c>
      <c r="E39" s="7">
        <v>697.71843462993695</v>
      </c>
      <c r="F39" s="7">
        <v>359.11298900631903</v>
      </c>
      <c r="G39" s="7">
        <v>322.62083304921401</v>
      </c>
      <c r="H39" s="7">
        <v>531.57435051341497</v>
      </c>
    </row>
    <row r="40" spans="2:8" x14ac:dyDescent="0.25">
      <c r="B40" s="7">
        <v>119.015282085484</v>
      </c>
      <c r="C40" s="7">
        <v>1063.9753495832001</v>
      </c>
      <c r="D40" s="7">
        <v>139.497577622188</v>
      </c>
      <c r="E40" s="7">
        <v>380.14713889441703</v>
      </c>
      <c r="F40" s="7">
        <v>654.41795121245605</v>
      </c>
      <c r="G40" s="7">
        <v>330.18626593868402</v>
      </c>
      <c r="H40" s="7">
        <v>368.83162221134597</v>
      </c>
    </row>
    <row r="41" spans="2:8" x14ac:dyDescent="0.25">
      <c r="B41" s="7">
        <v>881.51971087367394</v>
      </c>
      <c r="C41" s="7">
        <v>600.54615106931601</v>
      </c>
      <c r="D41" s="7">
        <v>244.268033646307</v>
      </c>
      <c r="E41" s="7">
        <v>152.606486931489</v>
      </c>
      <c r="F41" s="7">
        <v>162.50912534650001</v>
      </c>
      <c r="G41" s="7">
        <v>848.42023264132195</v>
      </c>
      <c r="H41" s="7">
        <v>747.86242127481501</v>
      </c>
    </row>
    <row r="42" spans="2:8" x14ac:dyDescent="0.25">
      <c r="B42" s="7">
        <v>610.90816266404795</v>
      </c>
      <c r="C42" s="7">
        <v>547.557644945839</v>
      </c>
      <c r="D42" s="7">
        <v>1283.8565500330701</v>
      </c>
      <c r="E42" s="7">
        <v>370.89380359328402</v>
      </c>
      <c r="F42" s="7">
        <v>808.02793786285997</v>
      </c>
      <c r="G42" s="7">
        <v>504.66902599143401</v>
      </c>
      <c r="H42" s="7">
        <v>570.66568468706305</v>
      </c>
    </row>
    <row r="43" spans="2:8" x14ac:dyDescent="0.25">
      <c r="B43" s="7">
        <v>648.21103003311703</v>
      </c>
      <c r="C43" s="7">
        <v>792.10793099208297</v>
      </c>
      <c r="D43" s="7">
        <v>710.54277217260994</v>
      </c>
      <c r="E43" s="7">
        <v>1143.7232116206301</v>
      </c>
      <c r="F43" s="7">
        <v>339.78611537254301</v>
      </c>
      <c r="G43" s="7">
        <v>697.08964610923101</v>
      </c>
      <c r="H43" s="7">
        <v>776.83308440629605</v>
      </c>
    </row>
    <row r="44" spans="2:8" x14ac:dyDescent="0.25">
      <c r="B44" s="7">
        <v>408.22969723272303</v>
      </c>
      <c r="C44" s="7">
        <v>321.81846722307603</v>
      </c>
      <c r="D44" s="7">
        <v>357.38738135043201</v>
      </c>
      <c r="E44" s="7">
        <v>320.351821685277</v>
      </c>
      <c r="F44" s="7">
        <v>153.55105994284301</v>
      </c>
      <c r="G44" s="7">
        <v>882.91448937087296</v>
      </c>
      <c r="H44" s="7">
        <v>1638.46475064127</v>
      </c>
    </row>
    <row r="45" spans="2:8" x14ac:dyDescent="0.25">
      <c r="B45" s="7">
        <v>1055.4067133246101</v>
      </c>
      <c r="C45" s="7">
        <v>608.21645789450395</v>
      </c>
      <c r="D45" s="7">
        <v>117.586741834316</v>
      </c>
      <c r="E45" s="7">
        <v>1722.34824263004</v>
      </c>
      <c r="F45" s="7">
        <v>362.34643319358503</v>
      </c>
      <c r="G45" s="7">
        <v>89.627820005591801</v>
      </c>
      <c r="H45" s="7">
        <v>1084.43082194012</v>
      </c>
    </row>
    <row r="46" spans="2:8" x14ac:dyDescent="0.25">
      <c r="B46" s="7">
        <v>8.1506446070587906</v>
      </c>
      <c r="D46" s="7">
        <v>498.01887808298602</v>
      </c>
      <c r="E46" s="7">
        <v>581.76197103057802</v>
      </c>
      <c r="F46" s="7">
        <v>834.846743112441</v>
      </c>
      <c r="G46" s="7">
        <v>505.04232070682502</v>
      </c>
      <c r="H46" s="7">
        <v>90.332630532060193</v>
      </c>
    </row>
    <row r="47" spans="2:8" x14ac:dyDescent="0.25">
      <c r="B47" s="7">
        <v>978.65907410669604</v>
      </c>
      <c r="D47" s="7">
        <v>756.23208075591003</v>
      </c>
      <c r="E47" s="7">
        <v>883.58936907170403</v>
      </c>
      <c r="F47" s="7">
        <v>1239.9997467513499</v>
      </c>
      <c r="G47" s="7">
        <v>967.10517441863794</v>
      </c>
      <c r="H47" s="7">
        <v>175.59262953142701</v>
      </c>
    </row>
    <row r="48" spans="2:8" x14ac:dyDescent="0.25">
      <c r="B48" s="7">
        <v>568.14296444011495</v>
      </c>
      <c r="D48" s="7">
        <v>989.85869530277796</v>
      </c>
      <c r="E48" s="7">
        <v>399.07495373954902</v>
      </c>
      <c r="F48" s="7">
        <v>1065.4888914552</v>
      </c>
      <c r="G48" s="7">
        <v>204.790791694576</v>
      </c>
      <c r="H48" s="7">
        <v>1603.96087426656</v>
      </c>
    </row>
    <row r="49" spans="2:8" x14ac:dyDescent="0.25">
      <c r="B49" s="7">
        <v>767.46115669114897</v>
      </c>
      <c r="D49" s="7">
        <v>88.235907196628403</v>
      </c>
      <c r="E49" s="7">
        <v>572.53685922140596</v>
      </c>
      <c r="F49" s="7">
        <v>28.849034932577901</v>
      </c>
      <c r="G49" s="7">
        <v>400.01528064376402</v>
      </c>
      <c r="H49" s="7">
        <v>687.57213006323695</v>
      </c>
    </row>
    <row r="50" spans="2:8" x14ac:dyDescent="0.25">
      <c r="B50" s="7">
        <v>248.48751901811499</v>
      </c>
      <c r="D50" s="7">
        <v>515.79057114654597</v>
      </c>
      <c r="E50" s="7">
        <v>429.08801934947297</v>
      </c>
      <c r="F50" s="7">
        <v>1757.29040365423</v>
      </c>
      <c r="G50" s="7">
        <v>738.29596410051295</v>
      </c>
      <c r="H50" s="7">
        <v>187.92075105198001</v>
      </c>
    </row>
    <row r="51" spans="2:8" x14ac:dyDescent="0.25">
      <c r="B51" s="7">
        <v>1128.53801344454</v>
      </c>
      <c r="D51" s="7">
        <v>559.84501393937603</v>
      </c>
      <c r="E51" s="7">
        <v>660.32489795874096</v>
      </c>
      <c r="F51" s="7">
        <v>773.07249153900602</v>
      </c>
      <c r="G51" s="7">
        <v>37.334045206865603</v>
      </c>
      <c r="H51" s="7">
        <v>27.394461742699999</v>
      </c>
    </row>
    <row r="52" spans="2:8" x14ac:dyDescent="0.25">
      <c r="B52" s="7">
        <v>1245.8816202806699</v>
      </c>
      <c r="D52" s="7">
        <v>658.02886057221201</v>
      </c>
      <c r="E52" s="7">
        <v>1007.59492056018</v>
      </c>
      <c r="F52" s="7">
        <v>228.48582084433301</v>
      </c>
      <c r="G52" s="7">
        <v>687.19197022590004</v>
      </c>
      <c r="H52" s="7">
        <v>967.82853803509602</v>
      </c>
    </row>
    <row r="53" spans="2:8" x14ac:dyDescent="0.25">
      <c r="B53" s="7">
        <v>1621.3032556210901</v>
      </c>
      <c r="D53" s="7">
        <v>855.85094747626101</v>
      </c>
      <c r="E53" s="7">
        <v>569.92048504168395</v>
      </c>
      <c r="F53" s="7">
        <v>595.69562065549997</v>
      </c>
      <c r="G53" s="7">
        <v>413.66794786414101</v>
      </c>
      <c r="H53" s="7">
        <v>264.36879852294601</v>
      </c>
    </row>
    <row r="54" spans="2:8" x14ac:dyDescent="0.25">
      <c r="B54" s="7">
        <v>1149.1400170854099</v>
      </c>
      <c r="D54" s="7">
        <v>194.80184457180201</v>
      </c>
      <c r="E54" s="7">
        <v>826.86151335345096</v>
      </c>
      <c r="F54" s="7">
        <v>478.36985765827598</v>
      </c>
      <c r="G54" s="7">
        <v>485.78472806136602</v>
      </c>
      <c r="H54" s="7">
        <v>298.32511686266702</v>
      </c>
    </row>
    <row r="55" spans="2:8" x14ac:dyDescent="0.25">
      <c r="B55" s="7">
        <v>572.65864994847004</v>
      </c>
      <c r="D55" s="7">
        <v>596.30318007470396</v>
      </c>
      <c r="E55" s="7">
        <v>919.63137982526405</v>
      </c>
      <c r="F55" s="7">
        <v>1263.60850917516</v>
      </c>
      <c r="G55" s="7">
        <v>59.226001214526903</v>
      </c>
      <c r="H55" s="7">
        <v>833.56411460500703</v>
      </c>
    </row>
    <row r="56" spans="2:8" x14ac:dyDescent="0.25">
      <c r="B56" s="7">
        <v>25.615953431513201</v>
      </c>
      <c r="D56" s="7">
        <v>76.489913907124105</v>
      </c>
      <c r="E56" s="7">
        <v>581.40143283541204</v>
      </c>
      <c r="F56" s="7">
        <v>617.57770313045</v>
      </c>
      <c r="G56" s="7">
        <v>119.197128004365</v>
      </c>
      <c r="H56" s="7">
        <v>32.317664833067703</v>
      </c>
    </row>
    <row r="57" spans="2:8" x14ac:dyDescent="0.25">
      <c r="B57" s="7">
        <v>150.997832010005</v>
      </c>
      <c r="D57" s="7">
        <v>132.48515758921201</v>
      </c>
      <c r="E57" s="7">
        <v>1144.5870338629099</v>
      </c>
      <c r="F57" s="7">
        <v>304.75138070910401</v>
      </c>
      <c r="G57" s="7">
        <v>622.52734084975202</v>
      </c>
      <c r="H57" s="7">
        <v>25.6874968577748</v>
      </c>
    </row>
    <row r="58" spans="2:8" x14ac:dyDescent="0.25">
      <c r="B58" s="7">
        <v>447.673411252807</v>
      </c>
      <c r="D58" s="7">
        <v>1017.22238615449</v>
      </c>
      <c r="E58" s="7">
        <v>514.02763353644195</v>
      </c>
      <c r="F58" s="7">
        <v>380.01942027915698</v>
      </c>
      <c r="G58" s="7">
        <v>658.97723307593606</v>
      </c>
      <c r="H58" s="7">
        <v>344.69673001132003</v>
      </c>
    </row>
    <row r="59" spans="2:8" x14ac:dyDescent="0.25">
      <c r="B59" s="7">
        <v>973.89026057347303</v>
      </c>
      <c r="D59" s="7">
        <v>473.71987547443001</v>
      </c>
      <c r="E59" s="7">
        <v>799.33410980366102</v>
      </c>
      <c r="F59" s="7">
        <v>353.28518653142601</v>
      </c>
      <c r="G59" s="7">
        <v>1024.9336762753901</v>
      </c>
      <c r="H59" s="7">
        <v>530.99070255209404</v>
      </c>
    </row>
    <row r="60" spans="2:8" x14ac:dyDescent="0.25">
      <c r="B60" s="7">
        <v>560.02085349783795</v>
      </c>
      <c r="D60" s="7">
        <v>938.15628549418204</v>
      </c>
      <c r="E60" s="7">
        <v>773.86301556164005</v>
      </c>
      <c r="F60" s="7">
        <v>163.58085961270299</v>
      </c>
      <c r="G60" s="7">
        <v>1063.8384739993901</v>
      </c>
      <c r="H60" s="7">
        <v>540.05668353555598</v>
      </c>
    </row>
    <row r="61" spans="2:8" x14ac:dyDescent="0.25">
      <c r="B61" s="7">
        <v>1033.0651777359999</v>
      </c>
      <c r="D61" s="7">
        <v>919.603933679286</v>
      </c>
      <c r="E61" s="7">
        <v>219.130730799182</v>
      </c>
      <c r="F61" s="7">
        <v>397.71913984008302</v>
      </c>
      <c r="G61" s="7">
        <v>236.325832493289</v>
      </c>
      <c r="H61" s="7">
        <v>262.78885561180601</v>
      </c>
    </row>
    <row r="62" spans="2:8" x14ac:dyDescent="0.25">
      <c r="B62" s="7">
        <v>606.78595954234902</v>
      </c>
      <c r="D62" s="7">
        <v>358.14377243982602</v>
      </c>
      <c r="E62" s="7">
        <v>396.78907573032802</v>
      </c>
      <c r="F62" s="7">
        <v>690.13722758416395</v>
      </c>
      <c r="G62" s="7">
        <v>26.629878399302701</v>
      </c>
      <c r="H62" s="7">
        <v>268.63460747917901</v>
      </c>
    </row>
    <row r="63" spans="2:8" x14ac:dyDescent="0.25">
      <c r="B63" s="7">
        <v>37.2491897693479</v>
      </c>
      <c r="D63" s="7">
        <v>1957.6924194016301</v>
      </c>
      <c r="E63" s="7">
        <v>172.770429367074</v>
      </c>
      <c r="F63" s="7">
        <v>402.81565087932501</v>
      </c>
      <c r="G63" s="7">
        <v>582.89462828966305</v>
      </c>
      <c r="H63" s="7">
        <v>598.84676020048801</v>
      </c>
    </row>
    <row r="64" spans="2:8" x14ac:dyDescent="0.25">
      <c r="B64" s="7">
        <v>273.71677012094102</v>
      </c>
      <c r="D64" s="7">
        <v>602.45381559601901</v>
      </c>
      <c r="E64" s="7">
        <v>1600.17252299712</v>
      </c>
      <c r="F64" s="7">
        <v>401.04290173566102</v>
      </c>
      <c r="G64" s="7">
        <v>661.59856415804904</v>
      </c>
      <c r="H64" s="7">
        <v>154.60195728250201</v>
      </c>
    </row>
    <row r="65" spans="2:8" x14ac:dyDescent="0.25">
      <c r="B65" s="7">
        <v>716.81593296148901</v>
      </c>
      <c r="D65" s="7">
        <v>461.02663396808401</v>
      </c>
      <c r="E65" s="7">
        <v>94.080873393403394</v>
      </c>
      <c r="F65" s="7">
        <v>328.18145689889002</v>
      </c>
      <c r="G65" s="7">
        <v>149.145538763925</v>
      </c>
      <c r="H65" s="7">
        <v>21.8873556273088</v>
      </c>
    </row>
    <row r="66" spans="2:8" x14ac:dyDescent="0.25">
      <c r="B66" s="7">
        <v>27.0872618069242</v>
      </c>
      <c r="D66" s="7">
        <v>510.70707380546901</v>
      </c>
      <c r="E66" s="7">
        <v>220.01596009891699</v>
      </c>
      <c r="F66" s="7">
        <v>303.55129279433402</v>
      </c>
      <c r="G66" s="7">
        <v>1108.9586604004801</v>
      </c>
      <c r="H66" s="7">
        <v>420.84039689768701</v>
      </c>
    </row>
    <row r="67" spans="2:8" x14ac:dyDescent="0.25">
      <c r="B67" s="7">
        <v>1219.5036803913599</v>
      </c>
      <c r="D67" s="7">
        <v>18.1336791004776</v>
      </c>
      <c r="E67" s="7">
        <v>24.361407276398999</v>
      </c>
      <c r="F67" s="7">
        <v>306.72463353816602</v>
      </c>
      <c r="G67" s="7">
        <v>898.76336419069003</v>
      </c>
      <c r="H67" s="7">
        <v>163.502821556486</v>
      </c>
    </row>
    <row r="68" spans="2:8" x14ac:dyDescent="0.25">
      <c r="B68" s="7">
        <v>722.76842691567595</v>
      </c>
      <c r="D68" s="7">
        <v>547.91003612105101</v>
      </c>
      <c r="E68" s="7">
        <v>298.90384474442902</v>
      </c>
      <c r="F68" s="7">
        <v>453.77762333267401</v>
      </c>
      <c r="G68" s="7">
        <v>335.55702414731201</v>
      </c>
      <c r="H68" s="7">
        <v>276.52612232504202</v>
      </c>
    </row>
    <row r="69" spans="2:8" x14ac:dyDescent="0.25">
      <c r="B69" s="7">
        <v>189.48054333653999</v>
      </c>
      <c r="D69" s="7">
        <v>628.51347435572302</v>
      </c>
      <c r="E69" s="7">
        <v>616.46187323372203</v>
      </c>
      <c r="F69" s="7">
        <v>1327.7694413445299</v>
      </c>
      <c r="G69" s="7">
        <v>896.78295892476103</v>
      </c>
      <c r="H69" s="7">
        <v>657.36784409464497</v>
      </c>
    </row>
    <row r="70" spans="2:8" x14ac:dyDescent="0.25">
      <c r="B70" s="7">
        <v>718.16747837706703</v>
      </c>
      <c r="D70" s="7">
        <v>399.73810402883203</v>
      </c>
      <c r="E70" s="7">
        <v>255.224813953942</v>
      </c>
      <c r="F70" s="7">
        <v>443.41598151788003</v>
      </c>
      <c r="G70" s="7">
        <v>364.35681681112698</v>
      </c>
      <c r="H70" s="7">
        <v>186.87041221631699</v>
      </c>
    </row>
    <row r="71" spans="2:8" x14ac:dyDescent="0.25">
      <c r="B71" s="7">
        <v>148.626491322725</v>
      </c>
      <c r="D71" s="7">
        <v>1953.63720784364</v>
      </c>
      <c r="E71" s="7">
        <v>1409.70308395749</v>
      </c>
      <c r="F71" s="7">
        <v>531.94036656371497</v>
      </c>
      <c r="G71" s="7">
        <v>853.42556490752895</v>
      </c>
      <c r="H71" s="7">
        <v>120.661309802362</v>
      </c>
    </row>
    <row r="72" spans="2:8" x14ac:dyDescent="0.25">
      <c r="B72" s="7">
        <v>756.13362417812402</v>
      </c>
      <c r="D72" s="7">
        <v>1280.8793678557299</v>
      </c>
      <c r="E72" s="7">
        <v>1467.6828280019199</v>
      </c>
      <c r="G72" s="7">
        <v>396.17780972670602</v>
      </c>
      <c r="H72" s="7">
        <v>652.41672724492105</v>
      </c>
    </row>
    <row r="73" spans="2:8" x14ac:dyDescent="0.25">
      <c r="B73" s="7">
        <v>557.14334991674502</v>
      </c>
      <c r="D73" s="7">
        <v>160.447972361658</v>
      </c>
      <c r="E73" s="7">
        <v>1673.2704347030301</v>
      </c>
      <c r="G73" s="7">
        <v>580.32711778582905</v>
      </c>
      <c r="H73" s="7">
        <v>140.08479088985001</v>
      </c>
    </row>
    <row r="74" spans="2:8" x14ac:dyDescent="0.25">
      <c r="B74" s="7">
        <v>21.532250710547199</v>
      </c>
      <c r="D74" s="7">
        <v>1522.14735359305</v>
      </c>
      <c r="E74" s="7">
        <v>1205.0169971472201</v>
      </c>
      <c r="G74" s="7">
        <v>264.32163083588603</v>
      </c>
      <c r="H74" s="7">
        <v>1044.4277611794701</v>
      </c>
    </row>
    <row r="75" spans="2:8" x14ac:dyDescent="0.25">
      <c r="B75" s="7">
        <v>529.03364547757803</v>
      </c>
      <c r="D75" s="7">
        <v>1074.77386591103</v>
      </c>
      <c r="E75" s="7">
        <v>652.43148990651696</v>
      </c>
      <c r="G75" s="7">
        <v>330.24484827937601</v>
      </c>
      <c r="H75" s="7">
        <v>288.960661681462</v>
      </c>
    </row>
    <row r="76" spans="2:8" x14ac:dyDescent="0.25">
      <c r="B76" s="7">
        <v>834.51213429967697</v>
      </c>
      <c r="D76" s="7">
        <v>1061.6755892763999</v>
      </c>
      <c r="E76" s="7">
        <v>468.10678787192097</v>
      </c>
      <c r="G76" s="7">
        <v>599.87202477587903</v>
      </c>
      <c r="H76" s="7">
        <v>537.82287572703206</v>
      </c>
    </row>
    <row r="77" spans="2:8" x14ac:dyDescent="0.25">
      <c r="B77" s="7">
        <v>638.27312522427701</v>
      </c>
      <c r="D77" s="7">
        <v>858.92127649936594</v>
      </c>
      <c r="E77" s="7">
        <v>507.47018072273301</v>
      </c>
      <c r="G77" s="7">
        <v>789.39987772026802</v>
      </c>
      <c r="H77" s="7">
        <v>855.75640596786695</v>
      </c>
    </row>
    <row r="78" spans="2:8" x14ac:dyDescent="0.25">
      <c r="B78" s="7">
        <v>1342.0709141052</v>
      </c>
      <c r="D78" s="7">
        <v>2106.0099552164202</v>
      </c>
      <c r="E78" s="7">
        <v>897.84774692191502</v>
      </c>
      <c r="G78" s="7">
        <v>520.50921982692205</v>
      </c>
      <c r="H78" s="7">
        <v>440.30440360155802</v>
      </c>
    </row>
    <row r="79" spans="2:8" x14ac:dyDescent="0.25">
      <c r="B79" s="7">
        <v>520.46465015749095</v>
      </c>
      <c r="D79" s="7">
        <v>276.24638540074301</v>
      </c>
      <c r="E79" s="7">
        <v>1118.2897102556601</v>
      </c>
      <c r="G79" s="7">
        <v>463.279208266544</v>
      </c>
      <c r="H79" s="7">
        <v>28.2079452674094</v>
      </c>
    </row>
    <row r="80" spans="2:8" x14ac:dyDescent="0.25">
      <c r="B80" s="7">
        <v>762.85025242496101</v>
      </c>
      <c r="D80" s="7">
        <v>422.76844825754301</v>
      </c>
      <c r="E80" s="7">
        <v>863.65126672483098</v>
      </c>
      <c r="G80" s="7">
        <v>170.19073368565401</v>
      </c>
      <c r="H80" s="7">
        <v>444.13252235530302</v>
      </c>
    </row>
    <row r="81" spans="2:8" x14ac:dyDescent="0.25">
      <c r="B81" s="7">
        <v>709.998595373743</v>
      </c>
      <c r="D81" s="7">
        <v>807.70725404503105</v>
      </c>
      <c r="E81" s="7">
        <v>497.64774496388497</v>
      </c>
      <c r="G81" s="7">
        <v>399.36967513918302</v>
      </c>
      <c r="H81" s="7">
        <v>745.18757508960095</v>
      </c>
    </row>
    <row r="82" spans="2:8" x14ac:dyDescent="0.25">
      <c r="B82" s="7">
        <v>1000.4314364243201</v>
      </c>
      <c r="D82" s="7">
        <v>1174.91725698144</v>
      </c>
      <c r="E82" s="7">
        <v>96.387512521847398</v>
      </c>
      <c r="G82" s="7">
        <v>302.32816298986597</v>
      </c>
      <c r="H82" s="7">
        <v>1582.39533488232</v>
      </c>
    </row>
    <row r="83" spans="2:8" x14ac:dyDescent="0.25">
      <c r="B83" s="7">
        <v>1381.1152534062701</v>
      </c>
      <c r="D83" s="7">
        <v>144.439663458723</v>
      </c>
      <c r="E83" s="7">
        <v>277.42478937238701</v>
      </c>
      <c r="G83" s="7">
        <v>585.99034015654195</v>
      </c>
      <c r="H83" s="7">
        <v>311.05881469697601</v>
      </c>
    </row>
    <row r="84" spans="2:8" x14ac:dyDescent="0.25">
      <c r="B84" s="7">
        <v>757.96765654580395</v>
      </c>
      <c r="D84" s="7">
        <v>210.279329396051</v>
      </c>
      <c r="E84" s="7">
        <v>175.863103570676</v>
      </c>
      <c r="G84" s="7">
        <v>441.63364046003301</v>
      </c>
      <c r="H84" s="7">
        <v>179.86320800068</v>
      </c>
    </row>
    <row r="85" spans="2:8" x14ac:dyDescent="0.25">
      <c r="B85" s="7">
        <v>177.997083402502</v>
      </c>
      <c r="D85" s="7">
        <v>1180.1050348850899</v>
      </c>
      <c r="E85" s="7">
        <v>446.17336547735403</v>
      </c>
      <c r="G85" s="7">
        <v>418.96966335136102</v>
      </c>
      <c r="H85" s="7">
        <v>755.91993952985695</v>
      </c>
    </row>
    <row r="86" spans="2:8" x14ac:dyDescent="0.25">
      <c r="B86" s="7">
        <v>570.55256269716597</v>
      </c>
      <c r="D86" s="7">
        <v>221.36311925814601</v>
      </c>
      <c r="E86" s="7">
        <v>837.40353032553503</v>
      </c>
      <c r="G86" s="7">
        <v>215.992539561543</v>
      </c>
      <c r="H86" s="7">
        <v>810.60478460420995</v>
      </c>
    </row>
    <row r="87" spans="2:8" x14ac:dyDescent="0.25">
      <c r="B87" s="7">
        <v>786.50832487197704</v>
      </c>
      <c r="D87" s="7">
        <v>406.23308133262202</v>
      </c>
      <c r="E87" s="7">
        <v>778.66240514211495</v>
      </c>
      <c r="G87" s="7">
        <v>404.88155758636401</v>
      </c>
      <c r="H87" s="7">
        <v>810.95314101644897</v>
      </c>
    </row>
    <row r="88" spans="2:8" x14ac:dyDescent="0.25">
      <c r="B88" s="7">
        <v>757.824221800141</v>
      </c>
      <c r="D88" s="7">
        <v>799.79351786817006</v>
      </c>
      <c r="E88" s="7">
        <v>650.01447001215297</v>
      </c>
      <c r="G88" s="7">
        <v>717.84901522757696</v>
      </c>
      <c r="H88" s="7">
        <v>25.552002368854701</v>
      </c>
    </row>
    <row r="89" spans="2:8" x14ac:dyDescent="0.25">
      <c r="B89" s="7">
        <v>302.22330899285402</v>
      </c>
      <c r="D89" s="7">
        <v>116.897656098468</v>
      </c>
      <c r="E89" s="7">
        <v>475.482384847844</v>
      </c>
      <c r="G89" s="7">
        <v>1329.3473430317599</v>
      </c>
      <c r="H89" s="7">
        <v>316.78460321599403</v>
      </c>
    </row>
    <row r="90" spans="2:8" x14ac:dyDescent="0.25">
      <c r="B90" s="7">
        <v>173.877110329624</v>
      </c>
      <c r="D90" s="7">
        <v>445.330364974323</v>
      </c>
      <c r="E90" s="7">
        <v>518.22117644057903</v>
      </c>
      <c r="G90" s="7">
        <v>196.580710400935</v>
      </c>
      <c r="H90" s="7">
        <v>22.9095277405765</v>
      </c>
    </row>
    <row r="91" spans="2:8" x14ac:dyDescent="0.25">
      <c r="B91" s="7">
        <v>130.981629477474</v>
      </c>
      <c r="D91" s="7">
        <v>1433.6515365277801</v>
      </c>
      <c r="E91" s="7">
        <v>1268.93205922484</v>
      </c>
      <c r="G91" s="7">
        <v>590.37103374069204</v>
      </c>
      <c r="H91" s="7">
        <v>113.690864194049</v>
      </c>
    </row>
    <row r="92" spans="2:8" x14ac:dyDescent="0.25">
      <c r="B92" s="7">
        <v>338.40465743182102</v>
      </c>
      <c r="D92" s="7">
        <v>790.62941233229606</v>
      </c>
      <c r="E92" s="7">
        <v>605.42959115962606</v>
      </c>
      <c r="G92" s="7">
        <v>503.47427623053801</v>
      </c>
      <c r="H92" s="7">
        <v>217.839091765706</v>
      </c>
    </row>
    <row r="93" spans="2:8" x14ac:dyDescent="0.25">
      <c r="B93" s="7">
        <v>24.273857586442201</v>
      </c>
      <c r="D93" s="7">
        <v>393.30802585887602</v>
      </c>
      <c r="E93" s="7">
        <v>931.96033623870801</v>
      </c>
      <c r="G93" s="7">
        <v>1649.62653889377</v>
      </c>
      <c r="H93" s="7">
        <v>799.68403229602598</v>
      </c>
    </row>
    <row r="94" spans="2:8" x14ac:dyDescent="0.25">
      <c r="B94" s="7">
        <v>1251.9074662011601</v>
      </c>
      <c r="D94" s="7">
        <v>609.16018371618804</v>
      </c>
      <c r="E94" s="7">
        <v>2130.6040466656</v>
      </c>
      <c r="G94" s="7">
        <v>142.552098847248</v>
      </c>
      <c r="H94" s="7">
        <v>89.139651051312995</v>
      </c>
    </row>
    <row r="95" spans="2:8" x14ac:dyDescent="0.25">
      <c r="B95" s="7">
        <v>217.787574289129</v>
      </c>
      <c r="D95" s="7">
        <v>89.128519726256499</v>
      </c>
      <c r="E95" s="7">
        <v>1397.3367433108999</v>
      </c>
      <c r="G95" s="7">
        <v>2047.69838344236</v>
      </c>
      <c r="H95" s="7">
        <v>109.65320839400501</v>
      </c>
    </row>
    <row r="96" spans="2:8" x14ac:dyDescent="0.25">
      <c r="B96" s="7">
        <v>30.422618656173</v>
      </c>
      <c r="D96" s="7">
        <v>992.67379462240399</v>
      </c>
      <c r="E96" s="7">
        <v>1185.71589750559</v>
      </c>
      <c r="G96" s="7">
        <v>139.497577622188</v>
      </c>
      <c r="H96" s="7">
        <v>340.73511236986002</v>
      </c>
    </row>
    <row r="97" spans="2:8" x14ac:dyDescent="0.25">
      <c r="B97" s="7">
        <v>2057.0823390109799</v>
      </c>
      <c r="D97" s="7">
        <v>709.87554771466705</v>
      </c>
      <c r="E97" s="7">
        <v>132.14829012805501</v>
      </c>
      <c r="G97" s="7">
        <v>561.79502603100502</v>
      </c>
      <c r="H97" s="7">
        <v>217.465040671601</v>
      </c>
    </row>
    <row r="98" spans="2:8" x14ac:dyDescent="0.25">
      <c r="B98" s="7">
        <v>551.833170180617</v>
      </c>
      <c r="D98" s="7">
        <v>912.43938815959405</v>
      </c>
      <c r="E98" s="7">
        <v>705.16602549160905</v>
      </c>
      <c r="G98" s="7">
        <v>155.21475379418001</v>
      </c>
      <c r="H98" s="7">
        <v>606.29160858728903</v>
      </c>
    </row>
    <row r="99" spans="2:8" x14ac:dyDescent="0.25">
      <c r="B99" s="7">
        <v>1169.3334713658001</v>
      </c>
      <c r="D99" s="7">
        <v>2130.6040466656</v>
      </c>
      <c r="E99" s="7">
        <v>615.41762224722197</v>
      </c>
      <c r="G99" s="7">
        <v>436.03621774008502</v>
      </c>
      <c r="H99" s="7">
        <v>115.95146796187601</v>
      </c>
    </row>
    <row r="100" spans="2:8" x14ac:dyDescent="0.25">
      <c r="B100" s="7">
        <v>906.50815566279596</v>
      </c>
      <c r="D100" s="7">
        <v>135.853292172404</v>
      </c>
      <c r="E100" s="7">
        <v>293.47115054093302</v>
      </c>
      <c r="G100" s="7">
        <v>513.01560550951604</v>
      </c>
      <c r="H100" s="7">
        <v>617.40879024997503</v>
      </c>
    </row>
    <row r="101" spans="2:8" x14ac:dyDescent="0.25">
      <c r="B101" s="7">
        <v>676.33585849018004</v>
      </c>
      <c r="D101" s="7">
        <v>1074.25582988407</v>
      </c>
      <c r="E101" s="7">
        <v>398.75975220900801</v>
      </c>
      <c r="G101" s="7">
        <v>1703.80629989816</v>
      </c>
      <c r="H101" s="7">
        <v>385.39001541970902</v>
      </c>
    </row>
    <row r="102" spans="2:8" x14ac:dyDescent="0.25">
      <c r="B102" s="7">
        <v>1214.88995999742</v>
      </c>
      <c r="D102" s="7">
        <v>368.25543018062001</v>
      </c>
      <c r="E102" s="7">
        <v>668.24238368212696</v>
      </c>
      <c r="G102" s="7">
        <v>1152.5545397352801</v>
      </c>
      <c r="H102" s="7">
        <v>228.5970319127</v>
      </c>
    </row>
    <row r="103" spans="2:8" x14ac:dyDescent="0.25">
      <c r="B103" s="7">
        <v>1440.10046398602</v>
      </c>
      <c r="D103" s="7">
        <v>326.96924394899497</v>
      </c>
      <c r="E103" s="7">
        <v>1131.2307066839501</v>
      </c>
      <c r="G103" s="7">
        <v>717.50926302998403</v>
      </c>
      <c r="H103" s="7">
        <v>206.082674291242</v>
      </c>
    </row>
    <row r="104" spans="2:8" x14ac:dyDescent="0.25">
      <c r="B104" s="7">
        <v>548.37216348051902</v>
      </c>
      <c r="D104" s="7">
        <v>989.78267318362396</v>
      </c>
      <c r="E104" s="7">
        <v>1036.9355069230701</v>
      </c>
      <c r="G104" s="7">
        <v>262.76887964049001</v>
      </c>
      <c r="H104" s="7">
        <v>254.41776225354201</v>
      </c>
    </row>
    <row r="105" spans="2:8" x14ac:dyDescent="0.25">
      <c r="B105" s="7">
        <v>957.88710760736501</v>
      </c>
      <c r="D105" s="7">
        <v>117.035569263718</v>
      </c>
      <c r="E105" s="7">
        <v>710.01196456208595</v>
      </c>
      <c r="G105" s="7">
        <v>1142.9974608570301</v>
      </c>
      <c r="H105" s="7">
        <v>115.95146796187601</v>
      </c>
    </row>
    <row r="106" spans="2:8" x14ac:dyDescent="0.25">
      <c r="B106" s="7">
        <v>471.34087985437901</v>
      </c>
      <c r="D106" s="7">
        <v>511.21581035138303</v>
      </c>
      <c r="E106" s="7">
        <v>113.456050372714</v>
      </c>
      <c r="G106" s="7">
        <v>725.70845493853801</v>
      </c>
      <c r="H106" s="7">
        <v>259.03325444638801</v>
      </c>
    </row>
    <row r="107" spans="2:8" x14ac:dyDescent="0.25">
      <c r="B107" s="7">
        <v>1987.6184549878601</v>
      </c>
      <c r="D107" s="7">
        <v>434.76122202704897</v>
      </c>
      <c r="E107" s="7">
        <v>522.51973012954602</v>
      </c>
      <c r="G107" s="7">
        <v>112.909309999694</v>
      </c>
      <c r="H107" s="7">
        <v>218.20747435321201</v>
      </c>
    </row>
    <row r="108" spans="2:8" x14ac:dyDescent="0.25">
      <c r="B108" s="7">
        <v>441.59306454833302</v>
      </c>
      <c r="D108" s="7">
        <v>600.78167431981001</v>
      </c>
      <c r="E108" s="7">
        <v>1460.40477641863</v>
      </c>
      <c r="G108" s="7">
        <v>107.32723124625301</v>
      </c>
      <c r="H108" s="7">
        <v>878.34235216643197</v>
      </c>
    </row>
    <row r="109" spans="2:8" x14ac:dyDescent="0.25">
      <c r="B109" s="7">
        <v>143.890566400544</v>
      </c>
      <c r="D109" s="7">
        <v>556.60261861021604</v>
      </c>
      <c r="E109" s="7">
        <v>493.37101552489702</v>
      </c>
      <c r="G109" s="7">
        <v>30.9772424276041</v>
      </c>
      <c r="H109" s="7">
        <v>816.58636966808501</v>
      </c>
    </row>
    <row r="110" spans="2:8" x14ac:dyDescent="0.25">
      <c r="B110" s="7">
        <v>273.71677012094102</v>
      </c>
      <c r="D110" s="7">
        <v>343.10202339411597</v>
      </c>
      <c r="E110" s="7">
        <v>39.159630225528097</v>
      </c>
      <c r="G110" s="7">
        <v>81.439302073063502</v>
      </c>
      <c r="H110" s="7">
        <v>411.40922696777301</v>
      </c>
    </row>
    <row r="111" spans="2:8" x14ac:dyDescent="0.25">
      <c r="B111" s="7">
        <v>758.43716332959502</v>
      </c>
      <c r="D111" s="7">
        <v>939.13415668962602</v>
      </c>
      <c r="E111" s="7">
        <v>753.11456736545802</v>
      </c>
      <c r="G111" s="7">
        <v>439.80343666629301</v>
      </c>
      <c r="H111" s="7">
        <v>602.20329814789795</v>
      </c>
    </row>
    <row r="112" spans="2:8" x14ac:dyDescent="0.25">
      <c r="B112" s="7">
        <v>313.850472315388</v>
      </c>
      <c r="D112" s="7">
        <v>535.54025583802002</v>
      </c>
      <c r="E112" s="7">
        <v>667.74736908404395</v>
      </c>
      <c r="G112" s="7">
        <v>26.545162608176401</v>
      </c>
      <c r="H112" s="7">
        <v>631.429129905644</v>
      </c>
    </row>
    <row r="113" spans="2:8" x14ac:dyDescent="0.25">
      <c r="B113" s="7">
        <v>646.09834339774295</v>
      </c>
      <c r="D113" s="7">
        <v>611.87196839280602</v>
      </c>
      <c r="E113" s="7">
        <v>355.83180115722303</v>
      </c>
      <c r="G113" s="7">
        <v>99.536332510798402</v>
      </c>
      <c r="H113" s="7">
        <v>630.678558769755</v>
      </c>
    </row>
    <row r="114" spans="2:8" x14ac:dyDescent="0.25">
      <c r="B114" s="7">
        <v>1405.95213912124</v>
      </c>
      <c r="D114" s="7">
        <v>685.36433200721297</v>
      </c>
      <c r="E114" s="7">
        <v>158.490781806717</v>
      </c>
      <c r="G114" s="7">
        <v>605.21603769527906</v>
      </c>
      <c r="H114" s="7">
        <v>720.26306949789796</v>
      </c>
    </row>
    <row r="115" spans="2:8" x14ac:dyDescent="0.25">
      <c r="B115" s="7">
        <v>420.19052330679602</v>
      </c>
      <c r="D115" s="7">
        <v>1450.12501313908</v>
      </c>
      <c r="E115" s="7">
        <v>584.28081171940903</v>
      </c>
      <c r="G115" s="7">
        <v>160.45249610990601</v>
      </c>
      <c r="H115" s="7">
        <v>582.16412633646905</v>
      </c>
    </row>
    <row r="116" spans="2:8" x14ac:dyDescent="0.25">
      <c r="B116" s="7">
        <v>697.24938906835496</v>
      </c>
      <c r="D116" s="7">
        <v>1546.8990863572899</v>
      </c>
      <c r="E116" s="7">
        <v>777.40611994211395</v>
      </c>
      <c r="G116" s="7">
        <v>811.13002983621095</v>
      </c>
      <c r="H116" s="7">
        <v>62.268700175857298</v>
      </c>
    </row>
    <row r="117" spans="2:8" x14ac:dyDescent="0.25">
      <c r="B117" s="7">
        <v>426.28766320798297</v>
      </c>
      <c r="D117" s="7">
        <v>1163.11755293184</v>
      </c>
      <c r="E117" s="7">
        <v>116.80355721589601</v>
      </c>
      <c r="G117" s="7">
        <v>742.89280823716695</v>
      </c>
      <c r="H117" s="7">
        <v>433.224866309258</v>
      </c>
    </row>
    <row r="118" spans="2:8" x14ac:dyDescent="0.25">
      <c r="B118" s="7">
        <v>762.95822873825205</v>
      </c>
      <c r="D118" s="7">
        <v>76.295353634011306</v>
      </c>
      <c r="E118" s="7">
        <v>511.452232340004</v>
      </c>
      <c r="G118" s="7">
        <v>555.47336086809105</v>
      </c>
      <c r="H118" s="7">
        <v>26.226395393252702</v>
      </c>
    </row>
    <row r="119" spans="2:8" x14ac:dyDescent="0.25">
      <c r="B119" s="7">
        <v>995.20922951524005</v>
      </c>
      <c r="D119" s="7">
        <v>1209.6795472300701</v>
      </c>
      <c r="E119" s="7">
        <v>644.05670319498597</v>
      </c>
      <c r="G119" s="7">
        <v>1262.3923003673101</v>
      </c>
      <c r="H119" s="7">
        <v>189.53169237667501</v>
      </c>
    </row>
    <row r="120" spans="2:8" x14ac:dyDescent="0.25">
      <c r="B120" s="7">
        <v>1039.9770745907001</v>
      </c>
      <c r="E120" s="7">
        <v>727.56783875745805</v>
      </c>
      <c r="G120" s="7">
        <v>807.17068633816302</v>
      </c>
      <c r="H120" s="7">
        <v>995.86833596855399</v>
      </c>
    </row>
    <row r="121" spans="2:8" x14ac:dyDescent="0.25">
      <c r="B121" s="7">
        <v>648.88206295036196</v>
      </c>
      <c r="E121" s="7">
        <v>905.689719933643</v>
      </c>
      <c r="G121" s="7">
        <v>428.11036168920702</v>
      </c>
      <c r="H121" s="7">
        <v>222.25163808131799</v>
      </c>
    </row>
    <row r="122" spans="2:8" x14ac:dyDescent="0.25">
      <c r="B122" s="7">
        <v>24.889363471243701</v>
      </c>
      <c r="E122" s="7">
        <v>518.91191453277895</v>
      </c>
      <c r="G122" s="7">
        <v>470.441419425454</v>
      </c>
      <c r="H122" s="7">
        <v>663.24972614439105</v>
      </c>
    </row>
    <row r="123" spans="2:8" x14ac:dyDescent="0.25">
      <c r="B123" s="7">
        <v>863.43631265475005</v>
      </c>
      <c r="E123" s="7">
        <v>772.81300165456605</v>
      </c>
      <c r="G123" s="7">
        <v>97.304405648039705</v>
      </c>
    </row>
    <row r="124" spans="2:8" x14ac:dyDescent="0.25">
      <c r="B124" s="7">
        <v>153.855037041391</v>
      </c>
      <c r="E124" s="7">
        <v>221.097891214421</v>
      </c>
      <c r="G124" s="7">
        <v>172.51211704432299</v>
      </c>
    </row>
    <row r="125" spans="2:8" x14ac:dyDescent="0.25">
      <c r="B125" s="7">
        <v>637.45917244620296</v>
      </c>
      <c r="E125" s="7">
        <v>947.54188726698305</v>
      </c>
      <c r="G125" s="7">
        <v>550.08321648673802</v>
      </c>
    </row>
    <row r="126" spans="2:8" x14ac:dyDescent="0.25">
      <c r="B126" s="7">
        <v>751.62175579645304</v>
      </c>
      <c r="E126" s="7">
        <v>187.688690289459</v>
      </c>
      <c r="G126" s="7">
        <v>801.53305256602403</v>
      </c>
    </row>
    <row r="127" spans="2:8" x14ac:dyDescent="0.25">
      <c r="B127" s="7">
        <v>418.14757584010601</v>
      </c>
      <c r="E127" s="7">
        <v>709.05933472646404</v>
      </c>
      <c r="G127" s="7">
        <v>1512.9940722680799</v>
      </c>
    </row>
    <row r="128" spans="2:8" x14ac:dyDescent="0.25">
      <c r="B128" s="7">
        <v>512.02179976903005</v>
      </c>
      <c r="E128" s="7">
        <v>851.22092693161403</v>
      </c>
      <c r="G128" s="7">
        <v>807.24966614967002</v>
      </c>
    </row>
    <row r="129" spans="2:7" x14ac:dyDescent="0.25">
      <c r="B129" s="7">
        <v>155.359685566802</v>
      </c>
      <c r="E129" s="7">
        <v>697.92341439880795</v>
      </c>
      <c r="G129" s="7">
        <v>26.9878068724115</v>
      </c>
    </row>
    <row r="130" spans="2:7" x14ac:dyDescent="0.25">
      <c r="B130" s="7">
        <v>26.4042014637153</v>
      </c>
      <c r="E130" s="7">
        <v>313.92837519834001</v>
      </c>
      <c r="G130" s="7">
        <v>294.21130968294102</v>
      </c>
    </row>
    <row r="131" spans="2:7" x14ac:dyDescent="0.25">
      <c r="B131" s="7">
        <v>1062.6379834623699</v>
      </c>
      <c r="E131" s="7">
        <v>574.59663752889105</v>
      </c>
      <c r="G131" s="7">
        <v>261.80408438348297</v>
      </c>
    </row>
    <row r="132" spans="2:7" x14ac:dyDescent="0.25">
      <c r="B132" s="7">
        <v>816.48380301539305</v>
      </c>
      <c r="E132" s="7">
        <v>415.13171259767302</v>
      </c>
      <c r="G132" s="7">
        <v>1199.9580264506701</v>
      </c>
    </row>
    <row r="133" spans="2:7" x14ac:dyDescent="0.25">
      <c r="B133" s="7">
        <v>26.4042014637153</v>
      </c>
      <c r="E133" s="7">
        <v>752.937526599183</v>
      </c>
      <c r="G133" s="7">
        <v>1062.6379834623699</v>
      </c>
    </row>
    <row r="134" spans="2:7" x14ac:dyDescent="0.25">
      <c r="B134" s="7">
        <v>558.46076844249501</v>
      </c>
      <c r="E134" s="7">
        <v>26.9878068724115</v>
      </c>
      <c r="G134" s="7">
        <v>242.97882410570901</v>
      </c>
    </row>
    <row r="135" spans="2:7" x14ac:dyDescent="0.25">
      <c r="B135" s="7">
        <v>636.73121585999695</v>
      </c>
      <c r="E135" s="7">
        <v>506.889813467517</v>
      </c>
      <c r="G135" s="7">
        <v>659.72973258869104</v>
      </c>
    </row>
    <row r="136" spans="2:7" x14ac:dyDescent="0.25">
      <c r="B136" s="7">
        <v>1009.97023579505</v>
      </c>
      <c r="E136" s="7">
        <v>533.96136465255404</v>
      </c>
      <c r="G136" s="7">
        <v>395.11635106703801</v>
      </c>
    </row>
    <row r="137" spans="2:7" x14ac:dyDescent="0.25">
      <c r="B137" s="7">
        <v>462.88182548132801</v>
      </c>
      <c r="E137" s="7">
        <v>254.831449671841</v>
      </c>
      <c r="G137" s="7">
        <v>639.93121834324495</v>
      </c>
    </row>
    <row r="138" spans="2:7" x14ac:dyDescent="0.25">
      <c r="B138" s="7">
        <v>201.890383635304</v>
      </c>
      <c r="E138" s="7">
        <v>602.71278090310295</v>
      </c>
      <c r="G138" s="7">
        <v>737.22442328313196</v>
      </c>
    </row>
    <row r="139" spans="2:7" x14ac:dyDescent="0.25">
      <c r="B139" s="7">
        <v>1349.5764323594001</v>
      </c>
      <c r="E139" s="7">
        <v>285.56855226387103</v>
      </c>
      <c r="G139" s="7">
        <v>788.65547412115495</v>
      </c>
    </row>
    <row r="140" spans="2:7" x14ac:dyDescent="0.25">
      <c r="B140" s="7">
        <v>706.03109034926604</v>
      </c>
      <c r="E140" s="7">
        <v>758.16165517780905</v>
      </c>
      <c r="G140" s="7">
        <v>106.956630882114</v>
      </c>
    </row>
    <row r="141" spans="2:7" x14ac:dyDescent="0.25">
      <c r="B141" s="7">
        <v>532.61661844132004</v>
      </c>
      <c r="E141" s="7">
        <v>1282.5598850547599</v>
      </c>
      <c r="G141" s="7">
        <v>524.42087991023902</v>
      </c>
    </row>
    <row r="142" spans="2:7" x14ac:dyDescent="0.25">
      <c r="B142" s="7">
        <v>1159.3291919866499</v>
      </c>
      <c r="E142" s="7">
        <v>686.40230487292195</v>
      </c>
      <c r="G142" s="7">
        <v>631.76665917930097</v>
      </c>
    </row>
    <row r="143" spans="2:7" x14ac:dyDescent="0.25">
      <c r="B143" s="7">
        <v>1603.0038557498001</v>
      </c>
      <c r="E143" s="7">
        <v>130.91728590176501</v>
      </c>
      <c r="G143" s="7">
        <v>611.51081145516196</v>
      </c>
    </row>
    <row r="144" spans="2:7" x14ac:dyDescent="0.25">
      <c r="B144" s="7">
        <v>975.53490922491403</v>
      </c>
      <c r="E144" s="7">
        <v>474.39873819084602</v>
      </c>
      <c r="G144" s="7">
        <v>493.19617701657103</v>
      </c>
    </row>
    <row r="145" spans="2:7" x14ac:dyDescent="0.25">
      <c r="B145" s="7">
        <v>624.51937926060202</v>
      </c>
      <c r="E145" s="7">
        <v>419.03819569259002</v>
      </c>
      <c r="G145" s="7">
        <v>425.95100763076101</v>
      </c>
    </row>
    <row r="146" spans="2:7" x14ac:dyDescent="0.25">
      <c r="B146" s="7">
        <v>1140.06674687184</v>
      </c>
      <c r="E146" s="7">
        <v>652.25716268044596</v>
      </c>
      <c r="G146" s="7">
        <v>980.17686620030599</v>
      </c>
    </row>
    <row r="147" spans="2:7" x14ac:dyDescent="0.25">
      <c r="B147" s="7">
        <v>610.39795999639705</v>
      </c>
      <c r="E147" s="7">
        <v>155.596677989043</v>
      </c>
      <c r="G147" s="7">
        <v>47.462170006270803</v>
      </c>
    </row>
    <row r="148" spans="2:7" x14ac:dyDescent="0.25">
      <c r="B148" s="7">
        <v>1358.3999356326699</v>
      </c>
      <c r="E148" s="7">
        <v>918.97827776399402</v>
      </c>
      <c r="G148" s="7">
        <v>579.07104299847595</v>
      </c>
    </row>
    <row r="149" spans="2:7" x14ac:dyDescent="0.25">
      <c r="B149" s="7">
        <v>208.32555545827</v>
      </c>
      <c r="E149" s="7">
        <v>363.67592731176302</v>
      </c>
      <c r="G149" s="7">
        <v>1107.7489162295601</v>
      </c>
    </row>
    <row r="150" spans="2:7" x14ac:dyDescent="0.25">
      <c r="B150" s="7">
        <v>855.698300003138</v>
      </c>
      <c r="E150" s="7">
        <v>361.98487780394601</v>
      </c>
      <c r="G150" s="7">
        <v>1191.3517342632699</v>
      </c>
    </row>
    <row r="151" spans="2:7" x14ac:dyDescent="0.25">
      <c r="B151" s="7">
        <v>461.80643209140601</v>
      </c>
      <c r="E151" s="7">
        <v>443.441500799587</v>
      </c>
      <c r="G151" s="7">
        <v>434.43771247762601</v>
      </c>
    </row>
    <row r="152" spans="2:7" x14ac:dyDescent="0.25">
      <c r="B152" s="7">
        <v>994.54414079244805</v>
      </c>
      <c r="E152" s="7">
        <v>403.122357437478</v>
      </c>
      <c r="G152" s="7">
        <v>26.4042014637153</v>
      </c>
    </row>
    <row r="153" spans="2:7" x14ac:dyDescent="0.25">
      <c r="B153" s="7">
        <v>423.00778605228402</v>
      </c>
      <c r="E153" s="7">
        <v>838.91529966142605</v>
      </c>
      <c r="G153" s="7">
        <v>1114.1836874369801</v>
      </c>
    </row>
    <row r="154" spans="2:7" x14ac:dyDescent="0.25">
      <c r="B154" s="7">
        <v>258.24169597951601</v>
      </c>
      <c r="E154" s="7">
        <v>998.04945084238398</v>
      </c>
      <c r="G154" s="7">
        <v>26.4042014637153</v>
      </c>
    </row>
    <row r="155" spans="2:7" x14ac:dyDescent="0.25">
      <c r="B155" s="7">
        <v>755.183583389418</v>
      </c>
      <c r="E155" s="7">
        <v>517.39638440898602</v>
      </c>
      <c r="G155" s="7">
        <v>540.77716717075396</v>
      </c>
    </row>
    <row r="156" spans="2:7" x14ac:dyDescent="0.25">
      <c r="B156" s="7">
        <v>1182.8476655738</v>
      </c>
      <c r="E156" s="7">
        <v>397.51581297535802</v>
      </c>
      <c r="G156" s="7">
        <v>366.85191881831503</v>
      </c>
    </row>
    <row r="157" spans="2:7" x14ac:dyDescent="0.25">
      <c r="B157" s="7">
        <v>1594.5815350021501</v>
      </c>
      <c r="E157" s="7">
        <v>118.22828844092901</v>
      </c>
      <c r="G157" s="7">
        <v>760.89223508264195</v>
      </c>
    </row>
    <row r="158" spans="2:7" x14ac:dyDescent="0.25">
      <c r="B158" s="7">
        <v>637.64387573902604</v>
      </c>
      <c r="E158" s="7">
        <v>629.96971381826302</v>
      </c>
      <c r="G158" s="7">
        <v>282.353313747404</v>
      </c>
    </row>
    <row r="159" spans="2:7" x14ac:dyDescent="0.25">
      <c r="B159" s="7">
        <v>882.40557206943697</v>
      </c>
      <c r="E159" s="7">
        <v>2133.07147908773</v>
      </c>
      <c r="G159" s="7">
        <v>104.556039577207</v>
      </c>
    </row>
    <row r="160" spans="2:7" x14ac:dyDescent="0.25">
      <c r="E160" s="7">
        <v>380.47055917819802</v>
      </c>
      <c r="G160" s="7">
        <v>200.552413611379</v>
      </c>
    </row>
    <row r="161" spans="5:7" x14ac:dyDescent="0.25">
      <c r="E161" s="7">
        <v>610.170779423108</v>
      </c>
      <c r="G161" s="7">
        <v>424.487736163318</v>
      </c>
    </row>
    <row r="162" spans="5:7" x14ac:dyDescent="0.25">
      <c r="E162" s="7">
        <v>24.9655109993463</v>
      </c>
      <c r="G162" s="7">
        <v>1358.75210076909</v>
      </c>
    </row>
    <row r="163" spans="5:7" x14ac:dyDescent="0.25">
      <c r="E163" s="7">
        <v>572.52658273146005</v>
      </c>
      <c r="G163" s="7">
        <v>251.850273827704</v>
      </c>
    </row>
    <row r="164" spans="5:7" x14ac:dyDescent="0.25">
      <c r="E164" s="7">
        <v>170.192471672295</v>
      </c>
      <c r="G164" s="7">
        <v>126.674197815924</v>
      </c>
    </row>
    <row r="165" spans="5:7" x14ac:dyDescent="0.25">
      <c r="E165" s="7">
        <v>2101.6975685809698</v>
      </c>
      <c r="G165" s="7">
        <v>25.937664434794801</v>
      </c>
    </row>
    <row r="166" spans="5:7" x14ac:dyDescent="0.25">
      <c r="E166" s="7">
        <v>1017.88995194245</v>
      </c>
      <c r="G166" s="7">
        <v>24.182279281719701</v>
      </c>
    </row>
    <row r="167" spans="5:7" x14ac:dyDescent="0.25">
      <c r="E167" s="7">
        <v>581.50070963170594</v>
      </c>
      <c r="G167" s="7">
        <v>605.42959115962606</v>
      </c>
    </row>
    <row r="168" spans="5:7" x14ac:dyDescent="0.25">
      <c r="E168" s="7">
        <v>73.547994141465495</v>
      </c>
      <c r="G168" s="7">
        <v>136.97179553674201</v>
      </c>
    </row>
    <row r="169" spans="5:7" x14ac:dyDescent="0.25">
      <c r="E169" s="7">
        <v>230.735327446262</v>
      </c>
      <c r="G169" s="7">
        <v>301.58373532900902</v>
      </c>
    </row>
    <row r="170" spans="5:7" x14ac:dyDescent="0.25">
      <c r="E170" s="7">
        <v>403.38195672617002</v>
      </c>
      <c r="G170" s="7">
        <v>147.33439814235899</v>
      </c>
    </row>
    <row r="171" spans="5:7" x14ac:dyDescent="0.25">
      <c r="E171" s="7">
        <v>1004.83688023528</v>
      </c>
      <c r="G171" s="7">
        <v>470.13431932781202</v>
      </c>
    </row>
    <row r="172" spans="5:7" x14ac:dyDescent="0.25">
      <c r="E172" s="7">
        <v>547.13266645096701</v>
      </c>
      <c r="G172" s="7">
        <v>529.59479039122095</v>
      </c>
    </row>
    <row r="173" spans="5:7" x14ac:dyDescent="0.25">
      <c r="E173" s="7">
        <v>27.394461742699999</v>
      </c>
      <c r="G173" s="7">
        <v>335.43278581112702</v>
      </c>
    </row>
    <row r="174" spans="5:7" x14ac:dyDescent="0.25">
      <c r="E174" s="7">
        <v>100.055901469771</v>
      </c>
      <c r="G174" s="7">
        <v>555.61114122700906</v>
      </c>
    </row>
    <row r="175" spans="5:7" x14ac:dyDescent="0.25">
      <c r="E175" s="7">
        <v>798.90131061513</v>
      </c>
      <c r="G175" s="7">
        <v>470.57976489574497</v>
      </c>
    </row>
    <row r="176" spans="5:7" x14ac:dyDescent="0.25">
      <c r="E176" s="7">
        <v>695.23206020434395</v>
      </c>
      <c r="G176" s="7">
        <v>766.31159554361102</v>
      </c>
    </row>
    <row r="177" spans="5:7" x14ac:dyDescent="0.25">
      <c r="E177" s="7">
        <v>118.22828844092901</v>
      </c>
      <c r="G177" s="7">
        <v>236.67820582853599</v>
      </c>
    </row>
    <row r="178" spans="5:7" x14ac:dyDescent="0.25">
      <c r="E178" s="7">
        <v>419.69316419747503</v>
      </c>
      <c r="G178" s="7">
        <v>1130.65057855803</v>
      </c>
    </row>
    <row r="179" spans="5:7" x14ac:dyDescent="0.25">
      <c r="E179" s="7">
        <v>1046.85339012393</v>
      </c>
      <c r="G179" s="7">
        <v>1153.15314838021</v>
      </c>
    </row>
    <row r="180" spans="5:7" x14ac:dyDescent="0.25">
      <c r="E180" s="7">
        <v>419.66811656445401</v>
      </c>
      <c r="G180" s="7">
        <v>1117.28376234181</v>
      </c>
    </row>
    <row r="181" spans="5:7" x14ac:dyDescent="0.25">
      <c r="E181" s="7">
        <v>157.589683236181</v>
      </c>
      <c r="G181" s="7">
        <v>333.05427363857098</v>
      </c>
    </row>
    <row r="182" spans="5:7" x14ac:dyDescent="0.25">
      <c r="E182" s="7">
        <v>256.67616675484197</v>
      </c>
      <c r="G182" s="7">
        <v>322.62083304921401</v>
      </c>
    </row>
    <row r="183" spans="5:7" x14ac:dyDescent="0.25">
      <c r="E183" s="7">
        <v>666.36415931286797</v>
      </c>
      <c r="G183" s="7">
        <v>289.70449952955602</v>
      </c>
    </row>
    <row r="184" spans="5:7" x14ac:dyDescent="0.25">
      <c r="E184" s="7">
        <v>85.803033823135294</v>
      </c>
      <c r="G184" s="7">
        <v>1173.9266013595</v>
      </c>
    </row>
    <row r="185" spans="5:7" x14ac:dyDescent="0.25">
      <c r="E185" s="7">
        <v>1697.10820502771</v>
      </c>
      <c r="G185" s="7">
        <v>485.19231343075501</v>
      </c>
    </row>
    <row r="186" spans="5:7" x14ac:dyDescent="0.25">
      <c r="E186" s="7">
        <v>30.422618656173</v>
      </c>
      <c r="G186" s="7">
        <v>200.773939771008</v>
      </c>
    </row>
    <row r="187" spans="5:7" x14ac:dyDescent="0.25">
      <c r="E187" s="7">
        <v>642.51302114553903</v>
      </c>
      <c r="G187" s="7">
        <v>1398.0049843368499</v>
      </c>
    </row>
    <row r="188" spans="5:7" x14ac:dyDescent="0.25">
      <c r="E188" s="7">
        <v>254.371285068985</v>
      </c>
      <c r="G188" s="7">
        <v>1011.3617107019199</v>
      </c>
    </row>
    <row r="189" spans="5:7" x14ac:dyDescent="0.25">
      <c r="E189" s="7">
        <v>28.114027673149099</v>
      </c>
      <c r="G189" s="7">
        <v>26.967576132627201</v>
      </c>
    </row>
    <row r="190" spans="5:7" x14ac:dyDescent="0.25">
      <c r="E190" s="7">
        <v>419.15427101463001</v>
      </c>
      <c r="G190" s="7">
        <v>91.741886162332904</v>
      </c>
    </row>
    <row r="191" spans="5:7" x14ac:dyDescent="0.25">
      <c r="E191" s="7">
        <v>584.276954620482</v>
      </c>
      <c r="G191" s="7">
        <v>878.24662042507396</v>
      </c>
    </row>
    <row r="192" spans="5:7" x14ac:dyDescent="0.25">
      <c r="E192" s="7">
        <v>527.01324612905796</v>
      </c>
      <c r="G192" s="7">
        <v>133.815086100256</v>
      </c>
    </row>
    <row r="193" spans="5:7" x14ac:dyDescent="0.25">
      <c r="E193" s="7">
        <v>229.32361335217001</v>
      </c>
      <c r="G193" s="7">
        <v>1235.5574847212299</v>
      </c>
    </row>
    <row r="194" spans="5:7" x14ac:dyDescent="0.25">
      <c r="E194" s="7">
        <v>527.03251616710895</v>
      </c>
      <c r="G194" s="7">
        <v>73.765240909357104</v>
      </c>
    </row>
    <row r="195" spans="5:7" x14ac:dyDescent="0.25">
      <c r="E195" s="7">
        <v>417.62675417712302</v>
      </c>
      <c r="G195" s="7">
        <v>24.104986169660801</v>
      </c>
    </row>
    <row r="196" spans="5:7" x14ac:dyDescent="0.25">
      <c r="E196" s="7">
        <v>878.17652916881104</v>
      </c>
      <c r="G196" s="7">
        <v>26.629878399302701</v>
      </c>
    </row>
    <row r="197" spans="5:7" x14ac:dyDescent="0.25">
      <c r="E197" s="7">
        <v>631.73879658915905</v>
      </c>
      <c r="G197" s="7">
        <v>369.52509740187702</v>
      </c>
    </row>
    <row r="198" spans="5:7" x14ac:dyDescent="0.25">
      <c r="E198" s="7">
        <v>693.32812963231402</v>
      </c>
      <c r="G198" s="7">
        <v>210.02647189258499</v>
      </c>
    </row>
    <row r="199" spans="5:7" x14ac:dyDescent="0.25">
      <c r="E199" s="7">
        <v>644.64177435433896</v>
      </c>
      <c r="G199" s="7">
        <v>697.414673419275</v>
      </c>
    </row>
    <row r="200" spans="5:7" x14ac:dyDescent="0.25">
      <c r="E200" s="7">
        <v>569.67938841711305</v>
      </c>
      <c r="G200" s="7">
        <v>613.23928501843795</v>
      </c>
    </row>
    <row r="201" spans="5:7" x14ac:dyDescent="0.25">
      <c r="E201" s="7">
        <v>185.084126336341</v>
      </c>
      <c r="G201" s="7">
        <v>265.72573818810503</v>
      </c>
    </row>
    <row r="202" spans="5:7" x14ac:dyDescent="0.25">
      <c r="E202" s="7">
        <v>253.206249099953</v>
      </c>
      <c r="G202" s="7">
        <v>880.54759242713897</v>
      </c>
    </row>
    <row r="203" spans="5:7" x14ac:dyDescent="0.25">
      <c r="E203" s="7">
        <v>716.41576124263895</v>
      </c>
      <c r="G203" s="7">
        <v>71.874019954708302</v>
      </c>
    </row>
    <row r="204" spans="5:7" x14ac:dyDescent="0.25">
      <c r="E204" s="7">
        <v>526.57051075724303</v>
      </c>
      <c r="G204" s="7">
        <v>266.17898206227801</v>
      </c>
    </row>
    <row r="205" spans="5:7" x14ac:dyDescent="0.25">
      <c r="E205" s="7">
        <v>1220.44277514747</v>
      </c>
      <c r="G205" s="7">
        <v>440.30440360155802</v>
      </c>
    </row>
    <row r="206" spans="5:7" x14ac:dyDescent="0.25">
      <c r="E206" s="7">
        <v>128.16042221088099</v>
      </c>
      <c r="G206" s="7">
        <v>647.01860825114295</v>
      </c>
    </row>
    <row r="207" spans="5:7" x14ac:dyDescent="0.25">
      <c r="E207" s="7">
        <v>657.05917442760403</v>
      </c>
      <c r="G207" s="7">
        <v>22.026628022846701</v>
      </c>
    </row>
    <row r="208" spans="5:7" x14ac:dyDescent="0.25">
      <c r="E208" s="7">
        <v>675.05791991145202</v>
      </c>
      <c r="G208" s="7">
        <v>198.331507947566</v>
      </c>
    </row>
    <row r="209" spans="5:7" x14ac:dyDescent="0.25">
      <c r="E209" s="7">
        <v>986.099596324804</v>
      </c>
      <c r="G209" s="7">
        <v>137.163349648072</v>
      </c>
    </row>
    <row r="210" spans="5:7" x14ac:dyDescent="0.25">
      <c r="E210" s="7">
        <v>170.192471672295</v>
      </c>
      <c r="G210" s="7">
        <v>554.95292710186197</v>
      </c>
    </row>
    <row r="211" spans="5:7" x14ac:dyDescent="0.25">
      <c r="E211" s="7">
        <v>526.66882361856995</v>
      </c>
      <c r="G211" s="7">
        <v>681.54173901689796</v>
      </c>
    </row>
    <row r="212" spans="5:7" x14ac:dyDescent="0.25">
      <c r="E212" s="7">
        <v>317.56784885159902</v>
      </c>
      <c r="G212" s="7">
        <v>1371.5770576110499</v>
      </c>
    </row>
    <row r="213" spans="5:7" x14ac:dyDescent="0.25">
      <c r="E213" s="7">
        <v>858.32243411753905</v>
      </c>
      <c r="G213" s="7">
        <v>29.245098669135601</v>
      </c>
    </row>
    <row r="214" spans="5:7" x14ac:dyDescent="0.25">
      <c r="E214" s="7">
        <v>755.31727423383802</v>
      </c>
      <c r="G214" s="7">
        <v>254.946491019261</v>
      </c>
    </row>
    <row r="215" spans="5:7" x14ac:dyDescent="0.25">
      <c r="E215" s="7">
        <v>45.648438745992102</v>
      </c>
      <c r="G215" s="7">
        <v>101.32580787791601</v>
      </c>
    </row>
    <row r="216" spans="5:7" x14ac:dyDescent="0.25">
      <c r="E216" s="7">
        <v>1812.2505294684299</v>
      </c>
      <c r="G216" s="7">
        <v>594.91243672902203</v>
      </c>
    </row>
    <row r="217" spans="5:7" x14ac:dyDescent="0.25">
      <c r="E217" s="7">
        <v>387.43650714445602</v>
      </c>
      <c r="G217" s="7">
        <v>1538.9792320858701</v>
      </c>
    </row>
    <row r="218" spans="5:7" x14ac:dyDescent="0.25">
      <c r="E218" s="7">
        <v>621.85884383195696</v>
      </c>
      <c r="G218" s="7">
        <v>623.78485868147004</v>
      </c>
    </row>
    <row r="219" spans="5:7" x14ac:dyDescent="0.25">
      <c r="E219" s="7">
        <v>643.62292744120703</v>
      </c>
      <c r="G219" s="7">
        <v>425.52628544543097</v>
      </c>
    </row>
    <row r="220" spans="5:7" x14ac:dyDescent="0.25">
      <c r="E220" s="7">
        <v>327.99675478566297</v>
      </c>
      <c r="G220" s="7">
        <v>538.78345383121405</v>
      </c>
    </row>
    <row r="221" spans="5:7" x14ac:dyDescent="0.25">
      <c r="E221" s="7">
        <v>1397.7316887986899</v>
      </c>
      <c r="G221" s="7">
        <v>448.31577735026201</v>
      </c>
    </row>
    <row r="222" spans="5:7" x14ac:dyDescent="0.25">
      <c r="E222" s="7">
        <v>373.78534120743302</v>
      </c>
      <c r="G222" s="7">
        <v>526.323910241882</v>
      </c>
    </row>
    <row r="223" spans="5:7" x14ac:dyDescent="0.25">
      <c r="E223" s="7">
        <v>1590.72009157655</v>
      </c>
      <c r="G223" s="7">
        <v>475.00456592201903</v>
      </c>
    </row>
    <row r="224" spans="5:7" x14ac:dyDescent="0.25">
      <c r="E224" s="7">
        <v>450.479722637267</v>
      </c>
      <c r="G224" s="7">
        <v>152.35813517541001</v>
      </c>
    </row>
    <row r="225" spans="5:7" x14ac:dyDescent="0.25">
      <c r="E225" s="7">
        <v>387.10066956988197</v>
      </c>
      <c r="G225" s="7">
        <v>287.55344043038701</v>
      </c>
    </row>
    <row r="226" spans="5:7" x14ac:dyDescent="0.25">
      <c r="E226" s="7">
        <v>1571.83417104265</v>
      </c>
      <c r="G226" s="7">
        <v>193.007767801358</v>
      </c>
    </row>
    <row r="227" spans="5:7" x14ac:dyDescent="0.25">
      <c r="E227" s="7">
        <v>653.76242718466005</v>
      </c>
      <c r="G227" s="7">
        <v>1179.3127013625001</v>
      </c>
    </row>
    <row r="228" spans="5:7" x14ac:dyDescent="0.25">
      <c r="E228" s="7">
        <v>2133.07147908773</v>
      </c>
      <c r="G228" s="7">
        <v>278.83280741148002</v>
      </c>
    </row>
    <row r="229" spans="5:7" x14ac:dyDescent="0.25">
      <c r="E229" s="7">
        <v>402.82037181072297</v>
      </c>
      <c r="G229" s="7">
        <v>90.081040977528005</v>
      </c>
    </row>
    <row r="230" spans="5:7" x14ac:dyDescent="0.25">
      <c r="E230" s="7">
        <v>114.180111676351</v>
      </c>
      <c r="G230" s="7">
        <v>1325.2333478851299</v>
      </c>
    </row>
    <row r="231" spans="5:7" x14ac:dyDescent="0.25">
      <c r="E231" s="7">
        <v>698.35480505356702</v>
      </c>
      <c r="G231" s="7">
        <v>778.64279753403002</v>
      </c>
    </row>
    <row r="232" spans="5:7" x14ac:dyDescent="0.25">
      <c r="E232" s="7">
        <v>192.99458753103499</v>
      </c>
      <c r="G232" s="7">
        <v>260.27739328460001</v>
      </c>
    </row>
    <row r="233" spans="5:7" x14ac:dyDescent="0.25">
      <c r="E233" s="7">
        <v>779.04181085479297</v>
      </c>
      <c r="G233" s="7">
        <v>384.04143580539898</v>
      </c>
    </row>
    <row r="234" spans="5:7" x14ac:dyDescent="0.25">
      <c r="E234" s="7">
        <v>595.70962702568295</v>
      </c>
      <c r="G234" s="7">
        <v>533.94982372991205</v>
      </c>
    </row>
    <row r="235" spans="5:7" x14ac:dyDescent="0.25">
      <c r="E235" s="7">
        <v>247.423079323461</v>
      </c>
      <c r="G235" s="7">
        <v>1491.9171600780701</v>
      </c>
    </row>
    <row r="236" spans="5:7" x14ac:dyDescent="0.25">
      <c r="E236" s="7">
        <v>670.81508291593502</v>
      </c>
      <c r="G236" s="7">
        <v>497.41818011708602</v>
      </c>
    </row>
    <row r="237" spans="5:7" x14ac:dyDescent="0.25">
      <c r="E237" s="7">
        <v>1258.38121048685</v>
      </c>
      <c r="G237" s="7">
        <v>85.042834743810502</v>
      </c>
    </row>
    <row r="238" spans="5:7" x14ac:dyDescent="0.25">
      <c r="E238" s="7">
        <v>112.538538288365</v>
      </c>
      <c r="G238" s="7">
        <v>100.41044207928201</v>
      </c>
    </row>
    <row r="239" spans="5:7" x14ac:dyDescent="0.25">
      <c r="E239" s="7">
        <v>810.22793337279995</v>
      </c>
      <c r="G239" s="7">
        <v>1082.39798327177</v>
      </c>
    </row>
    <row r="240" spans="5:7" x14ac:dyDescent="0.25">
      <c r="E240" s="7">
        <v>477.12052833298702</v>
      </c>
      <c r="G240" s="7">
        <v>211.21119953197001</v>
      </c>
    </row>
    <row r="241" spans="5:7" x14ac:dyDescent="0.25">
      <c r="E241" s="7">
        <v>659.15837792001605</v>
      </c>
      <c r="G241" s="7">
        <v>671.63350844301101</v>
      </c>
    </row>
    <row r="242" spans="5:7" x14ac:dyDescent="0.25">
      <c r="E242" s="7">
        <v>326.97573789014302</v>
      </c>
      <c r="G242" s="7">
        <v>330.37099348140902</v>
      </c>
    </row>
    <row r="243" spans="5:7" x14ac:dyDescent="0.25">
      <c r="E243" s="7">
        <v>787.43455248976898</v>
      </c>
      <c r="G243" s="7">
        <v>77.723284521658201</v>
      </c>
    </row>
    <row r="244" spans="5:7" x14ac:dyDescent="0.25">
      <c r="E244" s="7">
        <v>1119.10841922691</v>
      </c>
      <c r="G244" s="7">
        <v>369.04206681644501</v>
      </c>
    </row>
    <row r="245" spans="5:7" x14ac:dyDescent="0.25">
      <c r="E245" s="7">
        <v>479.03684336287301</v>
      </c>
      <c r="G245" s="7">
        <v>22.9095277405765</v>
      </c>
    </row>
    <row r="246" spans="5:7" x14ac:dyDescent="0.25">
      <c r="E246" s="7">
        <v>1586.88101096631</v>
      </c>
      <c r="G246" s="7">
        <v>399.98297527070702</v>
      </c>
    </row>
    <row r="247" spans="5:7" x14ac:dyDescent="0.25">
      <c r="E247" s="7">
        <v>260.39179241867203</v>
      </c>
      <c r="G247" s="7">
        <v>427.45715957399301</v>
      </c>
    </row>
    <row r="248" spans="5:7" x14ac:dyDescent="0.25">
      <c r="E248" s="7">
        <v>449.19957525676602</v>
      </c>
      <c r="G248" s="7">
        <v>710.64202107790402</v>
      </c>
    </row>
    <row r="249" spans="5:7" x14ac:dyDescent="0.25">
      <c r="E249" s="7">
        <v>459.51358282821201</v>
      </c>
      <c r="G249" s="7">
        <v>96.309495503982006</v>
      </c>
    </row>
    <row r="250" spans="5:7" x14ac:dyDescent="0.25">
      <c r="E250" s="7">
        <v>440.85293802190802</v>
      </c>
      <c r="G250" s="7">
        <v>111.894728578593</v>
      </c>
    </row>
    <row r="251" spans="5:7" x14ac:dyDescent="0.25">
      <c r="E251" s="7">
        <v>775.84437141744104</v>
      </c>
      <c r="G251" s="7">
        <v>20.0388506118504</v>
      </c>
    </row>
    <row r="252" spans="5:7" x14ac:dyDescent="0.25">
      <c r="E252" s="7">
        <v>58.222827445149498</v>
      </c>
      <c r="G252" s="7">
        <v>1686.1679588586901</v>
      </c>
    </row>
    <row r="253" spans="5:7" x14ac:dyDescent="0.25">
      <c r="E253" s="7">
        <v>834.39722546732196</v>
      </c>
      <c r="G253" s="7">
        <v>91.0208449858374</v>
      </c>
    </row>
    <row r="254" spans="5:7" x14ac:dyDescent="0.25">
      <c r="E254" s="7">
        <v>586.70550450950702</v>
      </c>
      <c r="G254" s="7">
        <v>571.86990071683203</v>
      </c>
    </row>
    <row r="255" spans="5:7" x14ac:dyDescent="0.25">
      <c r="E255" s="7">
        <v>98.111499046737407</v>
      </c>
      <c r="G255" s="7">
        <v>551.80691478088102</v>
      </c>
    </row>
    <row r="256" spans="5:7" x14ac:dyDescent="0.25">
      <c r="E256" s="7">
        <v>167.705982533927</v>
      </c>
      <c r="G256" s="7">
        <v>887.275550773649</v>
      </c>
    </row>
    <row r="257" spans="5:7" x14ac:dyDescent="0.25">
      <c r="E257" s="7">
        <v>424.21257849241101</v>
      </c>
      <c r="G257" s="7">
        <v>1286.71260200814</v>
      </c>
    </row>
    <row r="258" spans="5:7" x14ac:dyDescent="0.25">
      <c r="E258" s="7">
        <v>384.40251608023198</v>
      </c>
      <c r="G258" s="7">
        <v>389.76254934081902</v>
      </c>
    </row>
    <row r="259" spans="5:7" x14ac:dyDescent="0.25">
      <c r="E259" s="7">
        <v>785.28974209646003</v>
      </c>
      <c r="G259" s="7">
        <v>252.205516778218</v>
      </c>
    </row>
    <row r="260" spans="5:7" x14ac:dyDescent="0.25">
      <c r="E260" s="7">
        <v>443.62413630103703</v>
      </c>
      <c r="G260" s="7">
        <v>196.91543007853201</v>
      </c>
    </row>
    <row r="261" spans="5:7" x14ac:dyDescent="0.25">
      <c r="E261" s="7">
        <v>1007.18553838336</v>
      </c>
      <c r="G261" s="7">
        <v>622.33566849910903</v>
      </c>
    </row>
    <row r="262" spans="5:7" x14ac:dyDescent="0.25">
      <c r="E262" s="7">
        <v>1006.61487958993</v>
      </c>
      <c r="G262" s="7">
        <v>293.54174434498401</v>
      </c>
    </row>
    <row r="263" spans="5:7" x14ac:dyDescent="0.25">
      <c r="E263" s="7">
        <v>877.09023501563001</v>
      </c>
      <c r="G263" s="7">
        <v>662.12204714744405</v>
      </c>
    </row>
    <row r="264" spans="5:7" x14ac:dyDescent="0.25">
      <c r="E264" s="7">
        <v>1189.7509213204801</v>
      </c>
      <c r="G264" s="7">
        <v>464.62868827274201</v>
      </c>
    </row>
    <row r="265" spans="5:7" x14ac:dyDescent="0.25">
      <c r="E265" s="7">
        <v>790.05147619429397</v>
      </c>
      <c r="G265" s="7">
        <v>275.72124420046902</v>
      </c>
    </row>
    <row r="266" spans="5:7" x14ac:dyDescent="0.25">
      <c r="E266" s="7">
        <v>720.62040492383505</v>
      </c>
      <c r="G266" s="7">
        <v>682.95538064777395</v>
      </c>
    </row>
    <row r="267" spans="5:7" x14ac:dyDescent="0.25">
      <c r="E267" s="7">
        <v>381.13107200077502</v>
      </c>
      <c r="G267" s="7">
        <v>533.26786977193103</v>
      </c>
    </row>
    <row r="268" spans="5:7" x14ac:dyDescent="0.25">
      <c r="E268" s="7">
        <v>136.51575163151</v>
      </c>
      <c r="G268" s="7">
        <v>29.995354201422</v>
      </c>
    </row>
    <row r="269" spans="5:7" x14ac:dyDescent="0.25">
      <c r="E269" s="7">
        <v>915.53101824809403</v>
      </c>
      <c r="G269" s="7">
        <v>140.935648957594</v>
      </c>
    </row>
    <row r="270" spans="5:7" x14ac:dyDescent="0.25">
      <c r="E270" s="7">
        <v>488.27891976311997</v>
      </c>
    </row>
    <row r="271" spans="5:7" x14ac:dyDescent="0.25">
      <c r="E271" s="7">
        <v>336.73717452656001</v>
      </c>
    </row>
    <row r="272" spans="5:7" x14ac:dyDescent="0.25">
      <c r="E272" s="7">
        <v>28.0586504138771</v>
      </c>
    </row>
    <row r="273" spans="5:5" x14ac:dyDescent="0.25">
      <c r="E273" s="7">
        <v>383.95927336514501</v>
      </c>
    </row>
    <row r="274" spans="5:5" x14ac:dyDescent="0.25">
      <c r="E274" s="7">
        <v>24.1798269666115</v>
      </c>
    </row>
    <row r="275" spans="5:5" x14ac:dyDescent="0.25">
      <c r="E275" s="7">
        <v>257.48831594779801</v>
      </c>
    </row>
    <row r="276" spans="5:5" x14ac:dyDescent="0.25">
      <c r="E276" s="7">
        <v>302.91704223973898</v>
      </c>
    </row>
    <row r="277" spans="5:5" x14ac:dyDescent="0.25">
      <c r="E277" s="7">
        <v>1518.4660428851</v>
      </c>
    </row>
    <row r="278" spans="5:5" x14ac:dyDescent="0.25">
      <c r="E278" s="7">
        <v>1221.37832807275</v>
      </c>
    </row>
    <row r="279" spans="5:5" x14ac:dyDescent="0.25">
      <c r="E279" s="7">
        <v>110.951911167185</v>
      </c>
    </row>
    <row r="280" spans="5:5" x14ac:dyDescent="0.25">
      <c r="E280" s="7">
        <v>1009.22079329244</v>
      </c>
    </row>
    <row r="281" spans="5:5" x14ac:dyDescent="0.25">
      <c r="E281" s="7">
        <v>164.137198826993</v>
      </c>
    </row>
    <row r="282" spans="5:5" x14ac:dyDescent="0.25">
      <c r="E282" s="7">
        <v>647.97983815397902</v>
      </c>
    </row>
    <row r="283" spans="5:5" x14ac:dyDescent="0.25">
      <c r="E283" s="7">
        <v>257.30757624284001</v>
      </c>
    </row>
    <row r="284" spans="5:5" x14ac:dyDescent="0.25">
      <c r="E284" s="7">
        <v>738.72812419019795</v>
      </c>
    </row>
    <row r="285" spans="5:5" x14ac:dyDescent="0.25">
      <c r="E285" s="7">
        <v>93.8148082504282</v>
      </c>
    </row>
    <row r="286" spans="5:5" x14ac:dyDescent="0.25">
      <c r="E286" s="7">
        <v>764.44223559178101</v>
      </c>
    </row>
    <row r="287" spans="5:5" x14ac:dyDescent="0.25">
      <c r="E287" s="7">
        <v>19.232689955051899</v>
      </c>
    </row>
    <row r="288" spans="5:5" x14ac:dyDescent="0.25">
      <c r="E288" s="7">
        <v>522.51669501321101</v>
      </c>
    </row>
    <row r="289" spans="5:5" x14ac:dyDescent="0.25">
      <c r="E289" s="7">
        <v>106.25297755782501</v>
      </c>
    </row>
    <row r="290" spans="5:5" x14ac:dyDescent="0.25">
      <c r="E290" s="7">
        <v>1034.7728582505299</v>
      </c>
    </row>
    <row r="291" spans="5:5" x14ac:dyDescent="0.25">
      <c r="E291" s="7">
        <v>218.087841832762</v>
      </c>
    </row>
    <row r="292" spans="5:5" x14ac:dyDescent="0.25">
      <c r="E292" s="7">
        <v>758.25471683888895</v>
      </c>
    </row>
    <row r="293" spans="5:5" x14ac:dyDescent="0.25">
      <c r="E293" s="7">
        <v>607.01870341061306</v>
      </c>
    </row>
    <row r="294" spans="5:5" x14ac:dyDescent="0.25">
      <c r="E294" s="7">
        <v>105.16773620283401</v>
      </c>
    </row>
    <row r="295" spans="5:5" x14ac:dyDescent="0.25">
      <c r="E295" s="7">
        <v>367.586470200907</v>
      </c>
    </row>
    <row r="296" spans="5:5" x14ac:dyDescent="0.25">
      <c r="E296" s="7">
        <v>410.13319371540001</v>
      </c>
    </row>
  </sheetData>
  <mergeCells count="3">
    <mergeCell ref="K1:S1"/>
    <mergeCell ref="K4:S4"/>
    <mergeCell ref="K7:S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B085-CF35-4ECD-98FC-4F296CD69F99}">
  <dimension ref="A1:K31"/>
  <sheetViews>
    <sheetView topLeftCell="A9" workbookViewId="0">
      <selection activeCell="K10" sqref="K10"/>
    </sheetView>
  </sheetViews>
  <sheetFormatPr defaultRowHeight="15" x14ac:dyDescent="0.25"/>
  <cols>
    <col min="1" max="1" width="21" customWidth="1"/>
  </cols>
  <sheetData>
    <row r="1" spans="1:11" x14ac:dyDescent="0.25">
      <c r="B1">
        <v>2019</v>
      </c>
      <c r="C1">
        <v>2020</v>
      </c>
      <c r="D1">
        <v>2021</v>
      </c>
      <c r="E1">
        <v>2022</v>
      </c>
      <c r="F1">
        <v>2023</v>
      </c>
    </row>
    <row r="3" spans="1:11" x14ac:dyDescent="0.25">
      <c r="A3" t="s">
        <v>39</v>
      </c>
      <c r="B3">
        <v>91.02</v>
      </c>
      <c r="C3">
        <v>92.13</v>
      </c>
      <c r="D3">
        <v>91.83</v>
      </c>
      <c r="E3">
        <v>92.28</v>
      </c>
      <c r="F3">
        <v>91.9</v>
      </c>
      <c r="I3" t="s">
        <v>37</v>
      </c>
      <c r="J3" t="s">
        <v>36</v>
      </c>
      <c r="K3" t="s">
        <v>70</v>
      </c>
    </row>
    <row r="4" spans="1:11" x14ac:dyDescent="0.25">
      <c r="A4" t="s">
        <v>40</v>
      </c>
      <c r="B4">
        <v>79.569999999999993</v>
      </c>
      <c r="C4">
        <v>79.98</v>
      </c>
      <c r="D4">
        <v>81.34</v>
      </c>
      <c r="E4">
        <v>85.7</v>
      </c>
      <c r="F4">
        <v>85.72</v>
      </c>
      <c r="I4">
        <f>B7</f>
        <v>84.17</v>
      </c>
      <c r="J4">
        <f>B30</f>
        <v>92.3</v>
      </c>
      <c r="K4">
        <v>89.7</v>
      </c>
    </row>
    <row r="5" spans="1:11" x14ac:dyDescent="0.25">
      <c r="A5" t="s">
        <v>41</v>
      </c>
      <c r="B5">
        <v>81.5</v>
      </c>
      <c r="C5">
        <v>82.73</v>
      </c>
      <c r="D5">
        <v>86.25</v>
      </c>
      <c r="E5">
        <v>80.790000000000006</v>
      </c>
      <c r="F5">
        <v>85.65</v>
      </c>
      <c r="I5">
        <f>C7</f>
        <v>81.86</v>
      </c>
      <c r="J5">
        <f>C30</f>
        <v>93.42</v>
      </c>
      <c r="K5" s="23">
        <v>90.21</v>
      </c>
    </row>
    <row r="6" spans="1:11" x14ac:dyDescent="0.25">
      <c r="A6" t="s">
        <v>42</v>
      </c>
      <c r="B6">
        <v>97.84</v>
      </c>
      <c r="C6">
        <v>95.87</v>
      </c>
      <c r="D6">
        <v>99.07</v>
      </c>
      <c r="E6">
        <v>93.79</v>
      </c>
      <c r="F6">
        <v>95.73</v>
      </c>
      <c r="I6">
        <f>D7</f>
        <v>77.349999999999994</v>
      </c>
      <c r="J6">
        <f>D30</f>
        <v>93.24</v>
      </c>
      <c r="K6">
        <v>90.78</v>
      </c>
    </row>
    <row r="7" spans="1:11" x14ac:dyDescent="0.25">
      <c r="A7" t="s">
        <v>37</v>
      </c>
      <c r="B7" s="12">
        <v>84.17</v>
      </c>
      <c r="C7" s="12">
        <v>81.86</v>
      </c>
      <c r="D7" s="12">
        <v>77.349999999999994</v>
      </c>
      <c r="E7" s="12">
        <v>78.150000000000006</v>
      </c>
      <c r="F7" s="12">
        <v>81.13</v>
      </c>
      <c r="I7">
        <f>E7</f>
        <v>78.150000000000006</v>
      </c>
      <c r="J7">
        <f>E30</f>
        <v>93.04</v>
      </c>
      <c r="K7">
        <v>91.05</v>
      </c>
    </row>
    <row r="8" spans="1:11" x14ac:dyDescent="0.25">
      <c r="A8" t="s">
        <v>43</v>
      </c>
      <c r="B8">
        <v>76.180000000000007</v>
      </c>
      <c r="C8">
        <v>85.17</v>
      </c>
      <c r="D8">
        <v>85.26</v>
      </c>
      <c r="E8">
        <v>89.35</v>
      </c>
      <c r="F8">
        <v>89.03</v>
      </c>
      <c r="I8">
        <f>F7</f>
        <v>81.13</v>
      </c>
      <c r="J8">
        <f>F30</f>
        <v>93.86</v>
      </c>
      <c r="K8">
        <v>91.72</v>
      </c>
    </row>
    <row r="9" spans="1:11" x14ac:dyDescent="0.25">
      <c r="A9" t="s">
        <v>44</v>
      </c>
      <c r="B9">
        <v>82.8</v>
      </c>
      <c r="C9">
        <v>89.4</v>
      </c>
      <c r="D9">
        <v>90.12</v>
      </c>
      <c r="E9">
        <v>93.8</v>
      </c>
      <c r="F9">
        <v>94.39</v>
      </c>
    </row>
    <row r="10" spans="1:11" x14ac:dyDescent="0.25">
      <c r="A10" t="s">
        <v>45</v>
      </c>
      <c r="B10">
        <v>94.26</v>
      </c>
      <c r="C10">
        <v>93.37</v>
      </c>
      <c r="D10">
        <v>94.4</v>
      </c>
      <c r="E10">
        <v>95.51</v>
      </c>
      <c r="F10">
        <v>96.57</v>
      </c>
    </row>
    <row r="11" spans="1:11" x14ac:dyDescent="0.25">
      <c r="A11" t="s">
        <v>46</v>
      </c>
      <c r="B11">
        <v>95.55</v>
      </c>
      <c r="C11">
        <v>96.12</v>
      </c>
      <c r="D11">
        <v>96.54</v>
      </c>
      <c r="E11">
        <v>94.99</v>
      </c>
      <c r="F11">
        <v>98.52</v>
      </c>
    </row>
    <row r="12" spans="1:11" x14ac:dyDescent="0.25">
      <c r="A12" t="s">
        <v>47</v>
      </c>
      <c r="B12">
        <v>97.95</v>
      </c>
      <c r="C12">
        <v>97.19</v>
      </c>
      <c r="D12">
        <v>96.8</v>
      </c>
      <c r="E12">
        <v>95.7</v>
      </c>
      <c r="F12">
        <v>93.38</v>
      </c>
    </row>
    <row r="13" spans="1:11" x14ac:dyDescent="0.25">
      <c r="A13" t="s">
        <v>48</v>
      </c>
      <c r="B13">
        <v>89.77</v>
      </c>
      <c r="C13">
        <v>94.96</v>
      </c>
      <c r="D13">
        <v>94.16</v>
      </c>
      <c r="E13">
        <v>95.84</v>
      </c>
      <c r="F13">
        <v>95.42</v>
      </c>
    </row>
    <row r="14" spans="1:11" x14ac:dyDescent="0.25">
      <c r="A14" t="s">
        <v>49</v>
      </c>
      <c r="B14">
        <v>95.25</v>
      </c>
      <c r="C14">
        <v>98.14</v>
      </c>
      <c r="D14">
        <v>97.95</v>
      </c>
      <c r="E14">
        <v>95.25</v>
      </c>
      <c r="F14">
        <v>97.77</v>
      </c>
    </row>
    <row r="15" spans="1:11" x14ac:dyDescent="0.25">
      <c r="A15" t="s">
        <v>50</v>
      </c>
      <c r="B15">
        <v>98.33</v>
      </c>
      <c r="C15">
        <v>97.78</v>
      </c>
      <c r="D15">
        <v>98.75</v>
      </c>
      <c r="E15">
        <v>98.01</v>
      </c>
      <c r="F15">
        <v>99.22</v>
      </c>
    </row>
    <row r="16" spans="1:11" x14ac:dyDescent="0.25">
      <c r="A16" t="s">
        <v>51</v>
      </c>
      <c r="B16">
        <v>82.34</v>
      </c>
      <c r="C16">
        <v>80.37</v>
      </c>
      <c r="D16">
        <v>81.5</v>
      </c>
      <c r="E16">
        <v>92.59</v>
      </c>
      <c r="F16">
        <v>85.4</v>
      </c>
    </row>
    <row r="17" spans="1:6" x14ac:dyDescent="0.25">
      <c r="A17" t="s">
        <v>52</v>
      </c>
      <c r="B17">
        <v>95.84</v>
      </c>
      <c r="C17">
        <v>97.62</v>
      </c>
      <c r="D17">
        <v>96.63</v>
      </c>
      <c r="E17">
        <v>98.19</v>
      </c>
      <c r="F17">
        <v>98.11</v>
      </c>
    </row>
    <row r="18" spans="1:6" x14ac:dyDescent="0.25">
      <c r="A18" t="s">
        <v>53</v>
      </c>
      <c r="B18">
        <v>96.07</v>
      </c>
      <c r="C18">
        <v>98.23</v>
      </c>
      <c r="D18">
        <v>95.02</v>
      </c>
      <c r="E18">
        <v>94.86</v>
      </c>
      <c r="F18">
        <v>96.95</v>
      </c>
    </row>
    <row r="19" spans="1:6" x14ac:dyDescent="0.25">
      <c r="A19" t="s">
        <v>54</v>
      </c>
      <c r="B19">
        <v>92.17</v>
      </c>
      <c r="C19">
        <v>93.26</v>
      </c>
      <c r="D19">
        <v>92.47</v>
      </c>
      <c r="E19">
        <v>86.6</v>
      </c>
      <c r="F19">
        <v>92.27</v>
      </c>
    </row>
    <row r="20" spans="1:6" x14ac:dyDescent="0.25">
      <c r="A20" t="s">
        <v>55</v>
      </c>
      <c r="B20">
        <v>83.65</v>
      </c>
      <c r="C20">
        <v>90.91</v>
      </c>
      <c r="D20">
        <v>80.78</v>
      </c>
      <c r="E20">
        <v>84.14</v>
      </c>
      <c r="F20">
        <v>82.95</v>
      </c>
    </row>
    <row r="21" spans="1:6" x14ac:dyDescent="0.25">
      <c r="A21" t="s">
        <v>56</v>
      </c>
      <c r="B21">
        <v>98.75</v>
      </c>
      <c r="C21">
        <v>99.02</v>
      </c>
      <c r="D21">
        <v>98.14</v>
      </c>
      <c r="E21">
        <v>98.73</v>
      </c>
      <c r="F21">
        <v>99.61</v>
      </c>
    </row>
    <row r="22" spans="1:6" x14ac:dyDescent="0.25">
      <c r="A22" t="s">
        <v>57</v>
      </c>
      <c r="B22">
        <v>97.6</v>
      </c>
      <c r="C22">
        <v>96.84</v>
      </c>
      <c r="D22">
        <v>98.37</v>
      </c>
      <c r="E22">
        <v>97.82</v>
      </c>
      <c r="F22">
        <v>98.74</v>
      </c>
    </row>
    <row r="23" spans="1:6" x14ac:dyDescent="0.25">
      <c r="A23" t="s">
        <v>58</v>
      </c>
      <c r="B23">
        <v>98.55</v>
      </c>
      <c r="C23">
        <v>98.43</v>
      </c>
      <c r="D23">
        <v>99.51</v>
      </c>
      <c r="E23">
        <v>99.03</v>
      </c>
      <c r="F23">
        <v>97.67</v>
      </c>
    </row>
    <row r="24" spans="1:6" x14ac:dyDescent="0.25">
      <c r="A24" t="s">
        <v>59</v>
      </c>
      <c r="B24">
        <v>99.79</v>
      </c>
      <c r="C24">
        <v>99.36</v>
      </c>
      <c r="D24">
        <v>99.34</v>
      </c>
      <c r="E24">
        <v>99.05</v>
      </c>
      <c r="F24">
        <v>99.57</v>
      </c>
    </row>
    <row r="25" spans="1:6" x14ac:dyDescent="0.25">
      <c r="A25" t="s">
        <v>60</v>
      </c>
      <c r="B25">
        <v>99.26</v>
      </c>
      <c r="C25">
        <v>99.74</v>
      </c>
      <c r="D25">
        <v>100</v>
      </c>
      <c r="E25">
        <v>98.28</v>
      </c>
      <c r="F25">
        <v>98.77</v>
      </c>
    </row>
    <row r="26" spans="1:6" x14ac:dyDescent="0.25">
      <c r="A26" t="s">
        <v>61</v>
      </c>
      <c r="B26">
        <v>99.01</v>
      </c>
      <c r="C26">
        <v>100</v>
      </c>
      <c r="D26">
        <v>99.52</v>
      </c>
      <c r="E26">
        <v>99.44</v>
      </c>
      <c r="F26">
        <v>99.56</v>
      </c>
    </row>
    <row r="27" spans="1:6" x14ac:dyDescent="0.25">
      <c r="A27" t="s">
        <v>62</v>
      </c>
      <c r="B27">
        <v>98.05</v>
      </c>
      <c r="C27">
        <v>99.04</v>
      </c>
      <c r="D27">
        <v>97.93</v>
      </c>
      <c r="E27">
        <v>97.81</v>
      </c>
      <c r="F27">
        <v>97.36</v>
      </c>
    </row>
    <row r="28" spans="1:6" x14ac:dyDescent="0.25">
      <c r="A28" t="s">
        <v>63</v>
      </c>
      <c r="B28">
        <v>95.76</v>
      </c>
      <c r="C28">
        <v>94.17</v>
      </c>
      <c r="D28">
        <v>94.4</v>
      </c>
      <c r="E28">
        <v>96.81</v>
      </c>
      <c r="F28">
        <v>95.84</v>
      </c>
    </row>
    <row r="29" spans="1:6" x14ac:dyDescent="0.25">
      <c r="A29" t="s">
        <v>64</v>
      </c>
      <c r="B29">
        <v>95.67</v>
      </c>
      <c r="C29">
        <v>98.88</v>
      </c>
      <c r="D29">
        <v>97.21</v>
      </c>
      <c r="E29">
        <v>97.67</v>
      </c>
      <c r="F29">
        <v>94.34</v>
      </c>
    </row>
    <row r="30" spans="1:6" x14ac:dyDescent="0.25">
      <c r="A30" t="s">
        <v>38</v>
      </c>
      <c r="B30">
        <v>92.3</v>
      </c>
      <c r="C30">
        <v>93.42</v>
      </c>
      <c r="D30">
        <v>93.24</v>
      </c>
      <c r="E30">
        <v>93.04</v>
      </c>
      <c r="F30">
        <v>93.86</v>
      </c>
    </row>
    <row r="31" spans="1:6" x14ac:dyDescent="0.25">
      <c r="A31" t="s">
        <v>69</v>
      </c>
      <c r="B31">
        <v>89.7</v>
      </c>
      <c r="C31">
        <v>90.21</v>
      </c>
      <c r="D31">
        <v>90.78</v>
      </c>
      <c r="E31">
        <v>91.05</v>
      </c>
      <c r="F31">
        <v>91.72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Kumpulan</vt:lpstr>
      <vt:lpstr>Sheet5</vt:lpstr>
      <vt:lpstr>Kondisi Fisik</vt:lpstr>
      <vt:lpstr>Sumber Air Minum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 Septian</dc:creator>
  <cp:lastModifiedBy>Rasendriya</cp:lastModifiedBy>
  <dcterms:created xsi:type="dcterms:W3CDTF">2025-03-02T10:33:51Z</dcterms:created>
  <dcterms:modified xsi:type="dcterms:W3CDTF">2025-03-11T07:17:11Z</dcterms:modified>
</cp:coreProperties>
</file>